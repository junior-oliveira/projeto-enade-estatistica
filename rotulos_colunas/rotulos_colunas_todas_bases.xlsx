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GoogleDrive/Meu Drive/Doutorado/Disciplinas/Estatística/Projeto/projeto-enade-estatistica-1/rotulos_colunas/"/>
    </mc:Choice>
  </mc:AlternateContent>
  <xr:revisionPtr revIDLastSave="0" documentId="13_ncr:1_{8A223512-85E2-3043-AFCE-26188AB3D4A4}" xr6:coauthVersionLast="47" xr6:coauthVersionMax="47" xr10:uidLastSave="{00000000-0000-0000-0000-000000000000}"/>
  <bookViews>
    <workbookView xWindow="600" yWindow="1920" windowWidth="35500" windowHeight="169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71" i="1" l="1"/>
  <c r="H75" i="1"/>
  <c r="F63" i="1"/>
  <c r="D86" i="1"/>
  <c r="B102" i="1"/>
  <c r="J78" i="1"/>
  <c r="H82" i="1"/>
  <c r="F67" i="1"/>
  <c r="D91" i="1"/>
  <c r="J93" i="1"/>
  <c r="H97" i="1"/>
  <c r="F82" i="1"/>
  <c r="D112" i="1"/>
  <c r="B125" i="1"/>
  <c r="J88" i="1"/>
  <c r="H92" i="1"/>
  <c r="F80" i="1"/>
  <c r="D102" i="1"/>
  <c r="B115" i="1"/>
  <c r="J87" i="1"/>
  <c r="H91" i="1"/>
  <c r="F79" i="1"/>
  <c r="D101" i="1"/>
  <c r="B114" i="1"/>
  <c r="J80" i="1"/>
  <c r="H84" i="1"/>
  <c r="F69" i="1"/>
  <c r="D94" i="1"/>
  <c r="B110" i="1"/>
  <c r="J79" i="1"/>
  <c r="H83" i="1"/>
  <c r="F68" i="1"/>
  <c r="D93" i="1"/>
  <c r="B109" i="1"/>
  <c r="H66" i="1"/>
  <c r="J62" i="1"/>
  <c r="H73" i="1"/>
  <c r="J69" i="1" s="1"/>
  <c r="B107" i="1"/>
  <c r="H23" i="1"/>
  <c r="F11" i="1"/>
  <c r="F10" i="1"/>
  <c r="F8" i="1"/>
  <c r="F7" i="1"/>
  <c r="J72" i="1"/>
  <c r="J73" i="1"/>
  <c r="J74" i="1"/>
  <c r="J75" i="1"/>
  <c r="J76" i="1"/>
  <c r="J77" i="1"/>
  <c r="J81" i="1"/>
  <c r="J82" i="1"/>
  <c r="J83" i="1"/>
  <c r="J84" i="1"/>
  <c r="J85" i="1"/>
  <c r="J86" i="1"/>
  <c r="J89" i="1"/>
  <c r="J90" i="1"/>
  <c r="J91" i="1"/>
  <c r="J92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57" i="1"/>
  <c r="J58" i="1"/>
  <c r="J59" i="1"/>
  <c r="J60" i="1"/>
  <c r="J61" i="1"/>
  <c r="J63" i="1"/>
  <c r="J64" i="1"/>
  <c r="J65" i="1"/>
  <c r="J66" i="1"/>
  <c r="J67" i="1"/>
  <c r="J68" i="1"/>
  <c r="J70" i="1"/>
  <c r="J56" i="1"/>
  <c r="J53" i="1"/>
  <c r="J46" i="1"/>
  <c r="J47" i="1"/>
  <c r="J48" i="1"/>
  <c r="J49" i="1"/>
  <c r="J50" i="1"/>
  <c r="J43" i="1"/>
  <c r="J44" i="1"/>
  <c r="J45" i="1"/>
  <c r="J36" i="1"/>
  <c r="J37" i="1"/>
  <c r="J38" i="1"/>
  <c r="J39" i="1"/>
  <c r="J40" i="1"/>
  <c r="J41" i="1"/>
  <c r="J42" i="1"/>
  <c r="J35" i="1"/>
  <c r="J33" i="1"/>
  <c r="J34" i="1"/>
  <c r="J32" i="1"/>
  <c r="J31" i="1"/>
  <c r="J30" i="1"/>
  <c r="J28" i="1"/>
  <c r="J23" i="1"/>
  <c r="J19" i="1"/>
  <c r="J5" i="1"/>
  <c r="J7" i="1"/>
  <c r="J8" i="1"/>
  <c r="J9" i="1"/>
  <c r="J10" i="1"/>
  <c r="J11" i="1"/>
  <c r="J12" i="1"/>
  <c r="J13" i="1"/>
  <c r="J14" i="1"/>
  <c r="H76" i="1"/>
  <c r="H77" i="1"/>
  <c r="H78" i="1"/>
  <c r="H79" i="1"/>
  <c r="H80" i="1"/>
  <c r="H81" i="1"/>
  <c r="H85" i="1"/>
  <c r="H86" i="1"/>
  <c r="H87" i="1"/>
  <c r="H88" i="1"/>
  <c r="H89" i="1"/>
  <c r="H90" i="1"/>
  <c r="H93" i="1"/>
  <c r="H94" i="1"/>
  <c r="H95" i="1"/>
  <c r="H96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67" i="1"/>
  <c r="H68" i="1"/>
  <c r="H69" i="1"/>
  <c r="H70" i="1"/>
  <c r="H71" i="1"/>
  <c r="H72" i="1"/>
  <c r="H74" i="1"/>
  <c r="H64" i="1"/>
  <c r="H65" i="1"/>
  <c r="H63" i="1"/>
  <c r="H62" i="1"/>
  <c r="H61" i="1"/>
  <c r="H60" i="1"/>
  <c r="H57" i="1"/>
  <c r="H51" i="1"/>
  <c r="H52" i="1"/>
  <c r="H53" i="1"/>
  <c r="H54" i="1"/>
  <c r="H50" i="1"/>
  <c r="H40" i="1"/>
  <c r="H41" i="1"/>
  <c r="H42" i="1"/>
  <c r="H43" i="1"/>
  <c r="H44" i="1"/>
  <c r="H45" i="1"/>
  <c r="H46" i="1"/>
  <c r="H47" i="1"/>
  <c r="H48" i="1"/>
  <c r="H49" i="1"/>
  <c r="H39" i="1"/>
  <c r="H38" i="1"/>
  <c r="H37" i="1"/>
  <c r="H36" i="1"/>
  <c r="H35" i="1"/>
  <c r="H34" i="1"/>
  <c r="H32" i="1"/>
  <c r="H27" i="1"/>
  <c r="H22" i="1"/>
  <c r="J18" i="1" s="1"/>
  <c r="H21" i="1"/>
  <c r="H20" i="1"/>
  <c r="H16" i="1"/>
  <c r="H17" i="1"/>
  <c r="H18" i="1"/>
  <c r="H19" i="1"/>
  <c r="H15" i="1"/>
  <c r="J15" i="1" s="1"/>
  <c r="H14" i="1"/>
  <c r="H13" i="1"/>
  <c r="H12" i="1"/>
  <c r="H11" i="1"/>
  <c r="H10" i="1"/>
  <c r="H9" i="1"/>
  <c r="H7" i="1"/>
  <c r="H8" i="1"/>
  <c r="H3" i="1"/>
  <c r="J3" i="1" s="1"/>
  <c r="H4" i="1"/>
  <c r="J4" i="1" s="1"/>
  <c r="H5" i="1"/>
  <c r="H6" i="1"/>
  <c r="J6" i="1" s="1"/>
  <c r="H2" i="1"/>
  <c r="J2" i="1" s="1"/>
  <c r="F64" i="1"/>
  <c r="F65" i="1"/>
  <c r="F66" i="1"/>
  <c r="F70" i="1"/>
  <c r="F71" i="1"/>
  <c r="F72" i="1"/>
  <c r="F73" i="1"/>
  <c r="F74" i="1"/>
  <c r="F75" i="1"/>
  <c r="F76" i="1"/>
  <c r="F77" i="1"/>
  <c r="F78" i="1"/>
  <c r="F81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55" i="1"/>
  <c r="F56" i="1"/>
  <c r="F57" i="1"/>
  <c r="F58" i="1"/>
  <c r="F59" i="1"/>
  <c r="F60" i="1"/>
  <c r="F61" i="1"/>
  <c r="F62" i="1"/>
  <c r="F54" i="1"/>
  <c r="F52" i="1"/>
  <c r="F53" i="1"/>
  <c r="F51" i="1"/>
  <c r="F50" i="1"/>
  <c r="F49" i="1"/>
  <c r="F48" i="1"/>
  <c r="F47" i="1"/>
  <c r="F46" i="1"/>
  <c r="F45" i="1"/>
  <c r="F44" i="1"/>
  <c r="F43" i="1"/>
  <c r="F42" i="1"/>
  <c r="F40" i="1"/>
  <c r="F41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5" i="1"/>
  <c r="F16" i="1"/>
  <c r="F17" i="1"/>
  <c r="F18" i="1"/>
  <c r="F19" i="1"/>
  <c r="F14" i="1"/>
  <c r="F9" i="1"/>
  <c r="F12" i="1"/>
  <c r="F13" i="1"/>
  <c r="F3" i="1"/>
  <c r="F4" i="1"/>
  <c r="F5" i="1"/>
  <c r="F6" i="1"/>
  <c r="F2" i="1"/>
  <c r="D89" i="1"/>
  <c r="D90" i="1"/>
  <c r="D92" i="1"/>
  <c r="D95" i="1"/>
  <c r="D96" i="1"/>
  <c r="D97" i="1"/>
  <c r="D98" i="1"/>
  <c r="D99" i="1"/>
  <c r="D100" i="1"/>
  <c r="D103" i="1"/>
  <c r="D104" i="1"/>
  <c r="D105" i="1"/>
  <c r="D106" i="1"/>
  <c r="D107" i="1"/>
  <c r="D108" i="1"/>
  <c r="D109" i="1"/>
  <c r="D110" i="1"/>
  <c r="D111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85" i="1"/>
  <c r="D87" i="1"/>
  <c r="D88" i="1"/>
  <c r="D84" i="1"/>
  <c r="D83" i="1"/>
  <c r="D75" i="1"/>
  <c r="D76" i="1"/>
  <c r="D77" i="1"/>
  <c r="D78" i="1"/>
  <c r="D79" i="1"/>
  <c r="D80" i="1"/>
  <c r="D81" i="1"/>
  <c r="D82" i="1"/>
  <c r="D74" i="1"/>
  <c r="D71" i="1"/>
  <c r="D72" i="1"/>
  <c r="D73" i="1"/>
  <c r="D70" i="1"/>
  <c r="D60" i="1"/>
  <c r="D61" i="1"/>
  <c r="D62" i="1"/>
  <c r="D63" i="1"/>
  <c r="D64" i="1"/>
  <c r="D65" i="1"/>
  <c r="D66" i="1"/>
  <c r="D67" i="1"/>
  <c r="D68" i="1"/>
  <c r="D69" i="1"/>
  <c r="D55" i="1"/>
  <c r="D56" i="1"/>
  <c r="D57" i="1"/>
  <c r="D58" i="1"/>
  <c r="D59" i="1"/>
  <c r="D53" i="1"/>
  <c r="D54" i="1"/>
  <c r="D52" i="1"/>
  <c r="D45" i="1"/>
  <c r="D46" i="1"/>
  <c r="D47" i="1"/>
  <c r="D48" i="1"/>
  <c r="D49" i="1"/>
  <c r="D50" i="1"/>
  <c r="D51" i="1"/>
  <c r="D44" i="1"/>
  <c r="D43" i="1"/>
  <c r="D42" i="1"/>
  <c r="D41" i="1"/>
  <c r="D40" i="1"/>
  <c r="D39" i="1"/>
  <c r="D37" i="1"/>
  <c r="D38" i="1"/>
  <c r="D36" i="1"/>
  <c r="D28" i="1"/>
  <c r="D29" i="1"/>
  <c r="D30" i="1"/>
  <c r="D31" i="1"/>
  <c r="D32" i="1"/>
  <c r="D33" i="1"/>
  <c r="D34" i="1"/>
  <c r="D35" i="1"/>
  <c r="D25" i="1"/>
  <c r="D26" i="1"/>
  <c r="D27" i="1"/>
  <c r="D24" i="1"/>
  <c r="D21" i="1"/>
  <c r="D22" i="1"/>
  <c r="D23" i="1"/>
  <c r="D17" i="1"/>
  <c r="D18" i="1"/>
  <c r="D19" i="1"/>
  <c r="D20" i="1"/>
  <c r="D15" i="1"/>
  <c r="D16" i="1"/>
  <c r="D14" i="1"/>
  <c r="D13" i="1"/>
  <c r="D12" i="1"/>
  <c r="D9" i="1"/>
  <c r="D10" i="1"/>
  <c r="D11" i="1"/>
  <c r="D8" i="1"/>
  <c r="D7" i="1"/>
  <c r="D6" i="1"/>
  <c r="D5" i="1"/>
  <c r="D4" i="1"/>
  <c r="D3" i="1"/>
  <c r="D2" i="1"/>
  <c r="B116" i="1"/>
  <c r="B117" i="1"/>
  <c r="B118" i="1"/>
  <c r="B119" i="1"/>
  <c r="B120" i="1"/>
  <c r="B121" i="1"/>
  <c r="B122" i="1"/>
  <c r="B123" i="1"/>
  <c r="B124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103" i="1"/>
  <c r="B104" i="1"/>
  <c r="B105" i="1"/>
  <c r="B106" i="1"/>
  <c r="B108" i="1"/>
  <c r="B111" i="1"/>
  <c r="B112" i="1"/>
  <c r="B113" i="1"/>
  <c r="B101" i="1"/>
  <c r="B100" i="1"/>
  <c r="B91" i="1"/>
  <c r="B92" i="1"/>
  <c r="B93" i="1"/>
  <c r="B94" i="1"/>
  <c r="B95" i="1"/>
  <c r="B96" i="1"/>
  <c r="B97" i="1"/>
  <c r="B98" i="1"/>
  <c r="B99" i="1"/>
  <c r="B90" i="1"/>
  <c r="B88" i="1"/>
  <c r="B89" i="1"/>
  <c r="B87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73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58" i="1"/>
  <c r="B57" i="1"/>
  <c r="B56" i="1"/>
  <c r="B55" i="1"/>
  <c r="B54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40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24" i="1"/>
  <c r="B12" i="1"/>
  <c r="B13" i="1"/>
  <c r="B14" i="1"/>
  <c r="B15" i="1"/>
  <c r="B16" i="1"/>
  <c r="B17" i="1"/>
  <c r="B18" i="1"/>
  <c r="B19" i="1"/>
  <c r="B20" i="1"/>
  <c r="B21" i="1"/>
  <c r="B22" i="1"/>
  <c r="B23" i="1"/>
  <c r="B11" i="1"/>
  <c r="B8" i="1"/>
  <c r="B9" i="1"/>
  <c r="B10" i="1"/>
  <c r="B7" i="1"/>
  <c r="B4" i="1"/>
  <c r="B5" i="1"/>
  <c r="B6" i="1"/>
  <c r="B3" i="1"/>
  <c r="B2" i="1"/>
</calcChain>
</file>

<file path=xl/sharedStrings.xml><?xml version="1.0" encoding="utf-8"?>
<sst xmlns="http://schemas.openxmlformats.org/spreadsheetml/2006/main" count="1086" uniqueCount="504">
  <si>
    <t>NU_ANO</t>
  </si>
  <si>
    <t>CO_IES</t>
  </si>
  <si>
    <t>CO_CATEGAD</t>
  </si>
  <si>
    <t>CO_ORGACAD</t>
  </si>
  <si>
    <t>CO_GRUPO</t>
  </si>
  <si>
    <t>CO_CURSO</t>
  </si>
  <si>
    <t>CO_MODALIDADE</t>
  </si>
  <si>
    <t>CO_MUNIC_CURSO</t>
  </si>
  <si>
    <t>CO_UF_CURSO</t>
  </si>
  <si>
    <t>CO_REGIAO_CURSO</t>
  </si>
  <si>
    <t>NU_IDADE</t>
  </si>
  <si>
    <t>TP_SEXO</t>
  </si>
  <si>
    <t>ANO_FIM_2G</t>
  </si>
  <si>
    <t>ANO_IN_GRAD</t>
  </si>
  <si>
    <t>TP_SEMESTRE</t>
  </si>
  <si>
    <t>IN_MATUT</t>
  </si>
  <si>
    <t>IN_VESPER</t>
  </si>
  <si>
    <t>IN_NOTURNO</t>
  </si>
  <si>
    <t>ID_STATUS</t>
  </si>
  <si>
    <t>AMOSTRA</t>
  </si>
  <si>
    <t>TP_INSCRICAO</t>
  </si>
  <si>
    <t>NU_ITEM_OFG</t>
  </si>
  <si>
    <t>NU_ITEM_OCE</t>
  </si>
  <si>
    <t>DS_VT_GAB_OFG_FIN</t>
  </si>
  <si>
    <t>DS_VT_GAB_OCE_FIN</t>
  </si>
  <si>
    <t>DS_VT_ESC_OFG</t>
  </si>
  <si>
    <t>DS_VT_ACE_OFG</t>
  </si>
  <si>
    <t>DS_VT_ESC_OCE</t>
  </si>
  <si>
    <t>DS_VT_ACE_OCE</t>
  </si>
  <si>
    <t>TP_PRES</t>
  </si>
  <si>
    <t>TP_PR_GER</t>
  </si>
  <si>
    <t>TP_PR_OB_FG</t>
  </si>
  <si>
    <t>TP_PR_DI_FG</t>
  </si>
  <si>
    <t>TP_PR_OB_CE</t>
  </si>
  <si>
    <t>TP_PR_DI_CE</t>
  </si>
  <si>
    <t>TP_SFG_D1</t>
  </si>
  <si>
    <t>TP_SFG_D2</t>
  </si>
  <si>
    <t>TP_SCE_D1</t>
  </si>
  <si>
    <t>TP_SCE_D2</t>
  </si>
  <si>
    <t>TP_SCE_D3</t>
  </si>
  <si>
    <t>NT_GER</t>
  </si>
  <si>
    <t>NT_FG</t>
  </si>
  <si>
    <t>NT_OBJ_FG</t>
  </si>
  <si>
    <t>NT_DIS_FG</t>
  </si>
  <si>
    <t>NT_FG_D1</t>
  </si>
  <si>
    <t>NT_FG_D2</t>
  </si>
  <si>
    <t>NT_CE</t>
  </si>
  <si>
    <t>NT_OBJ_CE</t>
  </si>
  <si>
    <t>NT_DIS_CE</t>
  </si>
  <si>
    <t>NT_CE_D1</t>
  </si>
  <si>
    <t>NT_CE_D2</t>
  </si>
  <si>
    <t>NT_CE_D3</t>
  </si>
  <si>
    <t>CO_RS_I1</t>
  </si>
  <si>
    <t>CO_RS_I2</t>
  </si>
  <si>
    <t>CO_RS_I3</t>
  </si>
  <si>
    <t>CO_RS_I4</t>
  </si>
  <si>
    <t>CO_RS_I5</t>
  </si>
  <si>
    <t>CO_RS_I6</t>
  </si>
  <si>
    <t>CO_RS_I7</t>
  </si>
  <si>
    <t>CO_RS_I8</t>
  </si>
  <si>
    <t>CO_RS_I9</t>
  </si>
  <si>
    <t>QE_I01</t>
  </si>
  <si>
    <t>QE_I02</t>
  </si>
  <si>
    <t>QE_I03</t>
  </si>
  <si>
    <t>QE_I04</t>
  </si>
  <si>
    <t>QE_I05</t>
  </si>
  <si>
    <t>QE_I06</t>
  </si>
  <si>
    <t>QE_I07</t>
  </si>
  <si>
    <t>QE_I08</t>
  </si>
  <si>
    <t>QE_I09</t>
  </si>
  <si>
    <t>QE_I10</t>
  </si>
  <si>
    <t>QE_I11</t>
  </si>
  <si>
    <t>QE_I12</t>
  </si>
  <si>
    <t>QE_I13</t>
  </si>
  <si>
    <t>QE_I14</t>
  </si>
  <si>
    <t>QE_I15</t>
  </si>
  <si>
    <t>QE_I16</t>
  </si>
  <si>
    <t>QE_I17</t>
  </si>
  <si>
    <t>QE_I18</t>
  </si>
  <si>
    <t>QE_I19</t>
  </si>
  <si>
    <t>QE_I20</t>
  </si>
  <si>
    <t>QE_I21</t>
  </si>
  <si>
    <t>QE_I22</t>
  </si>
  <si>
    <t>QE_I23</t>
  </si>
  <si>
    <t>QE_I24</t>
  </si>
  <si>
    <t>QE_I25</t>
  </si>
  <si>
    <t>QE_I26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</si>
  <si>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</si>
  <si>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</si>
  <si>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</si>
  <si>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</si>
  <si>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</si>
  <si>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</si>
  <si>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</si>
  <si>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</si>
  <si>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</si>
  <si>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</si>
  <si>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</si>
  <si>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</si>
  <si>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</si>
  <si>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</si>
  <si>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</si>
  <si>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</si>
  <si>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</si>
  <si>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</si>
  <si>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</si>
  <si>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</si>
  <si>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</si>
  <si>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</si>
  <si>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</si>
  <si>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</si>
  <si>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</si>
  <si>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</si>
  <si>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</si>
  <si>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</si>
  <si>
    <t>CD_CATAD</t>
  </si>
  <si>
    <t>CD_ORGAC</t>
  </si>
  <si>
    <t>CO_REGIAO_HABIL</t>
  </si>
  <si>
    <t>CO_UF_HABIL</t>
  </si>
  <si>
    <t>CO_MUNIC_HABIL</t>
  </si>
  <si>
    <t>NO_MUNIC</t>
  </si>
  <si>
    <t>SG_UF</t>
  </si>
  <si>
    <t>NU_ANO_GRA</t>
  </si>
  <si>
    <t>TP_SEMEST</t>
  </si>
  <si>
    <t>PESO_AMOST</t>
  </si>
  <si>
    <t>IN_GRAD</t>
  </si>
  <si>
    <t>TP_DEF_FIS</t>
  </si>
  <si>
    <t>TP_DEF_VIS</t>
  </si>
  <si>
    <t>TP_DEF_AUD</t>
  </si>
  <si>
    <t>TP_SFG_D3</t>
  </si>
  <si>
    <t>TP_SCE_D4</t>
  </si>
  <si>
    <t>TP_SCE_D5</t>
  </si>
  <si>
    <t>TP_SCE_D6</t>
  </si>
  <si>
    <t>TP_SCE_D7</t>
  </si>
  <si>
    <t>TP_SCE_D8</t>
  </si>
  <si>
    <t>TP_SCE_D9</t>
  </si>
  <si>
    <t>TP_SCE_D10</t>
  </si>
  <si>
    <t>TP_SCE_D11</t>
  </si>
  <si>
    <t>TP_SCE_D12</t>
  </si>
  <si>
    <t>TP_SCE_D13</t>
  </si>
  <si>
    <t>TP_SCE_D14</t>
  </si>
  <si>
    <t>TP_SCE_D15</t>
  </si>
  <si>
    <t>TP_SCE_D16</t>
  </si>
  <si>
    <t>TP_SCE_D17</t>
  </si>
  <si>
    <t>TP_SCE_D18</t>
  </si>
  <si>
    <t>NU_QUE_OFG</t>
  </si>
  <si>
    <t>NU_QUE_OCE</t>
  </si>
  <si>
    <t>VT_GAB_OFG</t>
  </si>
  <si>
    <t>VT_GAB_OCE</t>
  </si>
  <si>
    <t>VT_ESC_OFG</t>
  </si>
  <si>
    <t>VT_ACE_OFG</t>
  </si>
  <si>
    <t>VT_ESC_OCE</t>
  </si>
  <si>
    <t>VT_ACE_OCE</t>
  </si>
  <si>
    <t>NT_FG_D3</t>
  </si>
  <si>
    <t>NT_CE_D4</t>
  </si>
  <si>
    <t>NT_CE_D5</t>
  </si>
  <si>
    <t>NT_CE_D6</t>
  </si>
  <si>
    <t>NT_CE_D7</t>
  </si>
  <si>
    <t>NT_CE_D8</t>
  </si>
  <si>
    <t>NT_CE_D9</t>
  </si>
  <si>
    <t>NT_CE_D10</t>
  </si>
  <si>
    <t>NT_CE_D11</t>
  </si>
  <si>
    <t>NT_CE_D12</t>
  </si>
  <si>
    <t>NT_CE_D13</t>
  </si>
  <si>
    <t>NT_CE_D14</t>
  </si>
  <si>
    <t>NT_CE_D15</t>
  </si>
  <si>
    <t>NT_CE_D16</t>
  </si>
  <si>
    <t>NT_CE_D17</t>
  </si>
  <si>
    <t>NT_CE_D18</t>
  </si>
  <si>
    <t>NU_QUE_QIP</t>
  </si>
  <si>
    <t>QP_I1</t>
  </si>
  <si>
    <t>QP_I2</t>
  </si>
  <si>
    <t>QP_I3</t>
  </si>
  <si>
    <t>QP_I4</t>
  </si>
  <si>
    <t>QP_I5</t>
  </si>
  <si>
    <t>QP_I6</t>
  </si>
  <si>
    <t>QP_I7</t>
  </si>
  <si>
    <t>QP_I8</t>
  </si>
  <si>
    <t>QP_I9</t>
  </si>
  <si>
    <t>NU_QUE_SOC</t>
  </si>
  <si>
    <t>TP_SIT_SOC</t>
  </si>
  <si>
    <t>QE_I1</t>
  </si>
  <si>
    <t>QE_I2</t>
  </si>
  <si>
    <t>QE_I3</t>
  </si>
  <si>
    <t>QE_I4</t>
  </si>
  <si>
    <t>QE_I5</t>
  </si>
  <si>
    <t>QE_I6</t>
  </si>
  <si>
    <t>QE_I7</t>
  </si>
  <si>
    <t>QE_I8</t>
  </si>
  <si>
    <t>QE_I9</t>
  </si>
  <si>
    <t>QE_I55</t>
  </si>
  <si>
    <t>QE_I56</t>
  </si>
  <si>
    <t>QE_I57</t>
  </si>
  <si>
    <t>QE_I58</t>
  </si>
  <si>
    <t>QE_I59</t>
  </si>
  <si>
    <t>QE_I60</t>
  </si>
  <si>
    <t>QE_I61</t>
  </si>
  <si>
    <t>QE_I62</t>
  </si>
  <si>
    <t>QE_I63</t>
  </si>
  <si>
    <t>QE_I64</t>
  </si>
  <si>
    <t>QE_I65</t>
  </si>
  <si>
    <t>QE_I66</t>
  </si>
  <si>
    <t>QE_I67</t>
  </si>
  <si>
    <t>QE_I68</t>
  </si>
  <si>
    <t>QE_I69</t>
  </si>
  <si>
    <t>QE_I70</t>
  </si>
  <si>
    <t>QE_I71</t>
  </si>
  <si>
    <t>QE_I72</t>
  </si>
  <si>
    <t>QE_I73</t>
  </si>
  <si>
    <t>QE_I74</t>
  </si>
  <si>
    <t>QE_I75</t>
  </si>
  <si>
    <t>QE_I76</t>
  </si>
  <si>
    <t>QE_I77</t>
  </si>
  <si>
    <t>QE_I78</t>
  </si>
  <si>
    <t>QE_I79</t>
  </si>
  <si>
    <t>QE_I80</t>
  </si>
  <si>
    <t>QE_I81</t>
  </si>
  <si>
    <t>QE_I82</t>
  </si>
  <si>
    <t>QE_I83</t>
  </si>
  <si>
    <t>QE_I84</t>
  </si>
  <si>
    <t>QE_I85</t>
  </si>
  <si>
    <t>QE_I86</t>
  </si>
  <si>
    <t>QE_I87</t>
  </si>
  <si>
    <t>QE_I88</t>
  </si>
  <si>
    <t>QE_I89</t>
  </si>
  <si>
    <t>QE_I90</t>
  </si>
  <si>
    <t>QE_I91</t>
  </si>
  <si>
    <t>QE_I92</t>
  </si>
  <si>
    <t>QE_I93</t>
  </si>
  <si>
    <t>QE_I94</t>
  </si>
  <si>
    <t>QE_I95</t>
  </si>
  <si>
    <t>QE_I96</t>
  </si>
  <si>
    <t>QE_I97</t>
  </si>
  <si>
    <t>QE_I98</t>
  </si>
  <si>
    <t>QE_I99</t>
  </si>
  <si>
    <t>QE_I100</t>
  </si>
  <si>
    <t>QE_I101</t>
  </si>
  <si>
    <t>QE_I102</t>
  </si>
  <si>
    <t>QE_I103</t>
  </si>
  <si>
    <t>QE_I104</t>
  </si>
  <si>
    <t>QE_I105</t>
  </si>
  <si>
    <t>QE_I106</t>
  </si>
  <si>
    <t>QE_I107</t>
  </si>
  <si>
    <t>QE_I108</t>
  </si>
  <si>
    <t>QE_I109</t>
  </si>
  <si>
    <t>QE_I110</t>
  </si>
  <si>
    <t>CO_SUBAREA</t>
  </si>
  <si>
    <t>ANO_IN_GRA</t>
  </si>
  <si>
    <t>IN_INSCR</t>
  </si>
  <si>
    <t>NU_QUE_DFG</t>
  </si>
  <si>
    <t>NU_QUE_DCE</t>
  </si>
  <si>
    <t>QE_I111</t>
  </si>
  <si>
    <t>QE_I112</t>
  </si>
  <si>
    <t>QE_I113</t>
  </si>
  <si>
    <t>QE_I114</t>
  </si>
  <si>
    <t>QE_I115</t>
  </si>
  <si>
    <t>NU_ITEM_OFG_Z</t>
  </si>
  <si>
    <t>NU_ITEM_OFG_X</t>
  </si>
  <si>
    <t>NU_ITEM_OFG_N</t>
  </si>
  <si>
    <t>NU_ITEM_OCE_Z</t>
  </si>
  <si>
    <t>NU_ITEM_OCE_X</t>
  </si>
  <si>
    <t>NU_ITEM_OCE_N</t>
  </si>
  <si>
    <t>DS_VT_GAB_OFG_ORIG</t>
  </si>
  <si>
    <t>DS_VT_GAB_OCE_ORIG</t>
  </si>
  <si>
    <t>NT_FG_D1_PT</t>
  </si>
  <si>
    <t>NT_FG_D1_CT</t>
  </si>
  <si>
    <t>NT_FG_D2_PT</t>
  </si>
  <si>
    <t>NT_FG_D2_CT</t>
  </si>
  <si>
    <t>NOVAS_2005</t>
  </si>
  <si>
    <t>NOVAS_2008</t>
  </si>
  <si>
    <t>NOVAS_2011</t>
  </si>
  <si>
    <t>NOVAS_2014</t>
  </si>
  <si>
    <t>ANO</t>
  </si>
  <si>
    <t>IES_COD_MEC</t>
  </si>
  <si>
    <t>IES_CATEGORIA</t>
  </si>
  <si>
    <t>IES_TIPO</t>
  </si>
  <si>
    <t>CURSO_GRUPO</t>
  </si>
  <si>
    <t>CURSO_ESPECIFICACAO</t>
  </si>
  <si>
    <t>CURSO_REGIAO</t>
  </si>
  <si>
    <t>CURSO_UF</t>
  </si>
  <si>
    <t>CURSO_MUNICIPIO</t>
  </si>
  <si>
    <t>CURSO_MEC</t>
  </si>
  <si>
    <t>CURSO_MODALIDADE</t>
  </si>
  <si>
    <t>PESSOA_IDADE</t>
  </si>
  <si>
    <t>PESSOA_SEXO</t>
  </si>
  <si>
    <t>PESSOA_MUNICIPIO</t>
  </si>
  <si>
    <t>PESSOA_UF</t>
  </si>
  <si>
    <t>PESSOA_CURSO_ANO_ENTRADA</t>
  </si>
  <si>
    <t>PESSOA_CURSO_SEMESTRE_ENTRADA</t>
  </si>
  <si>
    <t>PESSOA_CURSO_TURNO_MAT</t>
  </si>
  <si>
    <t>PESSOA_CURSO_TURNO_VESP</t>
  </si>
  <si>
    <t>PESSOA_CURSO_TURNO_NOT</t>
  </si>
  <si>
    <t>PESSOA_AMOSTRA_PARTICIPANTE</t>
  </si>
  <si>
    <t>PESSOA_AMOSTRA_PESO</t>
  </si>
  <si>
    <t>PESSOA_CONCLUINTE</t>
  </si>
  <si>
    <t>PESSOA_INSCRICAO_REGULAR</t>
  </si>
  <si>
    <t>PESSOA_NECESPECIAIS_FISICA</t>
  </si>
  <si>
    <t>PESSOA_NECESPECIAIS_VISUAL</t>
  </si>
  <si>
    <t>PESSOA_NECESPECIAIS_AUDITIVA</t>
  </si>
  <si>
    <t>PROVA_DISCENTE_PRESENTE_ENADE</t>
  </si>
  <si>
    <t>PROVA_DISCENTE_FEZ_PROVA</t>
  </si>
  <si>
    <t>PROVA_FG_OBJETIVAS_DISCENTE_FEZ_PROVA</t>
  </si>
  <si>
    <t>PROVA_FG_DISCURSIVAS_DISCENTE_FEZ_PROVA</t>
  </si>
  <si>
    <t>PROVA_FE_OBJETIVAS_DISCENTE_FEZ_PROVA</t>
  </si>
  <si>
    <t>PROVA_FE_DISCURSIVA_DISCENTE_FEZ_PROVA</t>
  </si>
  <si>
    <t>PROVA_FG_DISCURSIVA_DISCENTE_Q1_SITUACAO</t>
  </si>
  <si>
    <t>PROVA_FG_DISCURSIVA_DISCENTE_Q2_SITUACAO</t>
  </si>
  <si>
    <t>PROVA_FG_DISCURSIVA_DISCENTE_Q3_SITUACAO</t>
  </si>
  <si>
    <t>PROVA_FE_DISCURSIVA_DISCENTE_Q1_SITUACAO</t>
  </si>
  <si>
    <t>PROVA_FE_DISCURSIVA_DISCENTE_Q2_SITUACAO</t>
  </si>
  <si>
    <t>PROVA_FE_DISCURSIVA_DISCENTE_Q3_SITUACAO</t>
  </si>
  <si>
    <t>PROVA_FE_DISCURSIVA_DISCENTE_Q4_SITUACAO</t>
  </si>
  <si>
    <t>PROVA_FE_DISCURSIVA_DISCENTE_Q5_SITUACAO</t>
  </si>
  <si>
    <t>PROVA_FG_OBJETIVAS_NUM_QUESTOES</t>
  </si>
  <si>
    <t>PROVA_FG_DISCURSIVAS_NUM_QUESTOES</t>
  </si>
  <si>
    <t>PROVA_FE_OBJETIVAS_NUM_QUESTOES</t>
  </si>
  <si>
    <t>PROVA_FF_DISCURSIVAS_NUM_QUESTOES</t>
  </si>
  <si>
    <t>PROVA_FG_OBJETIVAS_GABARITO</t>
  </si>
  <si>
    <t>PROVA_FE_OBJETIVAS_GABARITO</t>
  </si>
  <si>
    <t>PROVA_FG_OBJETIVAS_RESPOSTAS_DISCENTE</t>
  </si>
  <si>
    <t>PROVA_FG_OBJETIVAS_ACERTOS_DISCENTE</t>
  </si>
  <si>
    <t>PROVA_FE_OBJETIVAS_RESPOSTAS_DISCENTE</t>
  </si>
  <si>
    <t>PROVA_FE_OBJETIVAS_ACERTOS_DISCENTE</t>
  </si>
  <si>
    <t>PROVA_FG_OBJETIVAS_NOTABRUTA</t>
  </si>
  <si>
    <t>PROVA_FG_DISCURSIVAS_Q1_NOTA</t>
  </si>
  <si>
    <t>PROVA_FG_DISCURSIVAS_Q2_NOTA</t>
  </si>
  <si>
    <t>PROVA_FG_DISCURSIVAS_Q3_NOTA</t>
  </si>
  <si>
    <t>PROVA_FG_DISCURSIVAS_NOTABRUTA</t>
  </si>
  <si>
    <t>PROVA_FG_NOTABRUTA</t>
  </si>
  <si>
    <t>PROVA_FE_OBJETIVAS_NOTABRUTA</t>
  </si>
  <si>
    <t>PROVA_FE_DISCURSIVAS_Q1_NOTA</t>
  </si>
  <si>
    <t>PROVA_FE_DISCURSIVAS_Q2_NOTA</t>
  </si>
  <si>
    <t>PROVA_FE_DISCURSIVAS_Q3_NOTA</t>
  </si>
  <si>
    <t>PROVA_FE_DISCURSIVAS_Q4_NOTA</t>
  </si>
  <si>
    <t>PROVA_FE_DISCURSIVAS_Q5_NOTA</t>
  </si>
  <si>
    <t>PROVA_FE_DISCURSIVAS_NOTABRUTA</t>
  </si>
  <si>
    <t>PROVA_FE_NOTABRUTA</t>
  </si>
  <si>
    <t>PROVA_NOTABRUTA</t>
  </si>
  <si>
    <t>QUESTIONARIO_PERCEPCAO_NUM_QUESTOES</t>
  </si>
  <si>
    <t>QUESTIONARIO_SOCIO_NUM_QUESTOES</t>
  </si>
  <si>
    <t>QUESTIONARIO_SOCIO_RESPONDEU</t>
  </si>
  <si>
    <t>PROVA_FE_DISCURSIVA_DISCENTE_Q6_SITUACAO</t>
  </si>
  <si>
    <t>PROVA_FE_DISCURSIVA_DISCENTE_Q7_SITUACAO</t>
  </si>
  <si>
    <t>PROVA_FE_DISCURSIVA_DISCENTE_Q8_SITUACAO</t>
  </si>
  <si>
    <t>PROVA_FE_DISCURSIVA_DISCENTE_Q9_SITUACAO</t>
  </si>
  <si>
    <t>PROVA_FE_DISCURSIVA_DISCENTE_Q10_SITUACAO</t>
  </si>
  <si>
    <t>PROVA_FE_DISCURSIVA_DISCENTE_Q11_SITUACAO</t>
  </si>
  <si>
    <t>PROVA_FE_DISCURSIVA_DISCENTE_Q12_SITUACAO</t>
  </si>
  <si>
    <t>PROVA_FE_DISCURSIVA_DISCENTE_Q13_SITUACAO</t>
  </si>
  <si>
    <t>PROVA_FE_DISCURSIVA_DISCENTE_Q14_SITUACAO</t>
  </si>
  <si>
    <t>PROVA_FE_DISCURSIVA_DISCENTE_Q15_SITUACAO</t>
  </si>
  <si>
    <t>PROVA_FE_DISCURSIVA_DISCENTE_Q16_SITUACAO</t>
  </si>
  <si>
    <t>PROVA_FE_DISCURSIVA_DISCENTE_Q17_SITUACAO</t>
  </si>
  <si>
    <t>PROVA_FE_DISCURSIVA_DISCENTE_Q18_SITUACAO</t>
  </si>
  <si>
    <t>PROVA_FE_DISCURSIVAS_Q6_NOTA</t>
  </si>
  <si>
    <t>PROVA_FE_DISCURSIVAS_Q7_NOTA</t>
  </si>
  <si>
    <t>PROVA_FE_DISCURSIVAS_Q8_NOTA</t>
  </si>
  <si>
    <t>PROVA_FE_DISCURSIVAS_Q9_NOTA</t>
  </si>
  <si>
    <t>PROVA_FE_DISCURSIVAS_Q10_NOTA</t>
  </si>
  <si>
    <t>PROVA_FE_DISCURSIVAS_Q11_NOTA</t>
  </si>
  <si>
    <t>PROVA_FE_DISCURSIVAS_Q12_NOTA</t>
  </si>
  <si>
    <t>PROVA_FE_DISCURSIVAS_Q13_NOTA</t>
  </si>
  <si>
    <t>PROVA_FE_DISCURSIVAS_Q14_NOTA</t>
  </si>
  <si>
    <t>PROVA_FE_DISCURSIVAS_Q15_NOTA</t>
  </si>
  <si>
    <t>PROVA_FE_DISCURSIVAS_Q16_NOTA</t>
  </si>
  <si>
    <t>PROVA_FE_DISCURSIVAS_Q17_NOTA</t>
  </si>
  <si>
    <t>PROVA_FE_DISCURSIVAS_Q18_NOTA</t>
  </si>
  <si>
    <t>QUESTIONARIO_PERCEPCAO_Q1</t>
  </si>
  <si>
    <t>QUESTIONARIO_PERCEPCAO_Q2</t>
  </si>
  <si>
    <t>QUESTIONARIO_PERCEPCAO_Q3</t>
  </si>
  <si>
    <t>QUESTIONARIO_PERCEPCAO_Q4</t>
  </si>
  <si>
    <t>QUESTIONARIO_PERCEPCAO_Q5</t>
  </si>
  <si>
    <t>QUESTIONARIO_PERCEPCAO_Q6</t>
  </si>
  <si>
    <t>QUESTIONARIO_PERCEPCAO_Q7</t>
  </si>
  <si>
    <t>QUESTIONARIO_PERCEPCAO_Q8</t>
  </si>
  <si>
    <t>QUESTIONARIO_PERCEPCAO_Q9</t>
  </si>
  <si>
    <t>QUESTIONARIO_SOCIO_Q1</t>
  </si>
  <si>
    <t>QUESTIONARIO_SOCIO_Q2</t>
  </si>
  <si>
    <t>QUESTIONARIO_SOCIO_Q3</t>
  </si>
  <si>
    <t>QUESTIONARIO_SOCIO_Q4</t>
  </si>
  <si>
    <t>QUESTIONARIO_SOCIO_Q5</t>
  </si>
  <si>
    <t>QUESTIONARIO_SOCIO_Q6</t>
  </si>
  <si>
    <t>QUESTIONARIO_SOCIO_Q7</t>
  </si>
  <si>
    <t>QUESTIONARIO_SOCIO_Q8</t>
  </si>
  <si>
    <t>QUESTIONARIO_SOCIO_Q9</t>
  </si>
  <si>
    <t>QUESTIONARIO_SOCIO_Q10</t>
  </si>
  <si>
    <t>QUESTIONARIO_SOCIO_Q11</t>
  </si>
  <si>
    <t>QUESTIONARIO_SOCIO_Q12</t>
  </si>
  <si>
    <t>QUESTIONARIO_SOCIO_Q13</t>
  </si>
  <si>
    <t>QUESTIONARIO_SOCIO_Q14</t>
  </si>
  <si>
    <t>QUESTIONARIO_SOCIO_Q15</t>
  </si>
  <si>
    <t>QUESTIONARIO_SOCIO_Q16</t>
  </si>
  <si>
    <t>QUESTIONARIO_SOCIO_Q17</t>
  </si>
  <si>
    <t>QUESTIONARIO_SOCIO_Q18</t>
  </si>
  <si>
    <t>QUESTIONARIO_SOCIO_Q19</t>
  </si>
  <si>
    <t>QUESTIONARIO_SOCIO_Q20</t>
  </si>
  <si>
    <t>QUESTIONARIO_SOCIO_Q21</t>
  </si>
  <si>
    <t>QUESTIONARIO_SOCIO_Q22</t>
  </si>
  <si>
    <t>QUESTIONARIO_SOCIO_Q23</t>
  </si>
  <si>
    <t>QUESTIONARIO_SOCIO_Q24</t>
  </si>
  <si>
    <t>QUESTIONARIO_SOCIO_Q25</t>
  </si>
  <si>
    <t>QUESTIONARIO_SOCIO_Q26</t>
  </si>
  <si>
    <t>QUESTIONARIO_SOCIO_Q27</t>
  </si>
  <si>
    <t>QUESTIONARIO_SOCIO_Q28</t>
  </si>
  <si>
    <t>QUESTIONARIO_SOCIO_Q29</t>
  </si>
  <si>
    <t>QUESTIONARIO_SOCIO_Q30</t>
  </si>
  <si>
    <t>QUESTIONARIO_SOCIO_Q31</t>
  </si>
  <si>
    <t>QUESTIONARIO_SOCIO_Q32</t>
  </si>
  <si>
    <t>QUESTIONARIO_SOCIO_Q33</t>
  </si>
  <si>
    <t>QUESTIONARIO_SOCIO_Q34</t>
  </si>
  <si>
    <t>QUESTIONARIO_SOCIO_Q35</t>
  </si>
  <si>
    <t>QUESTIONARIO_SOCIO_Q36</t>
  </si>
  <si>
    <t>QUESTIONARIO_SOCIO_Q37</t>
  </si>
  <si>
    <t>QUESTIONARIO_SOCIO_Q38</t>
  </si>
  <si>
    <t>QUESTIONARIO_SOCIO_Q39</t>
  </si>
  <si>
    <t>QUESTIONARIO_SOCIO_Q40</t>
  </si>
  <si>
    <t>QUESTIONARIO_SOCIO_Q41</t>
  </si>
  <si>
    <t>QUESTIONARIO_SOCIO_Q42</t>
  </si>
  <si>
    <t>QUESTIONARIO_SOCIO_Q43</t>
  </si>
  <si>
    <t>QUESTIONARIO_SOCIO_Q44</t>
  </si>
  <si>
    <t>QUESTIONARIO_SOCIO_Q45</t>
  </si>
  <si>
    <t>QUESTIONARIO_SOCIO_Q46</t>
  </si>
  <si>
    <t>QUESTIONARIO_SOCIO_Q47</t>
  </si>
  <si>
    <t>QUESTIONARIO_SOCIO_Q48</t>
  </si>
  <si>
    <t>QUESTIONARIO_SOCIO_Q49</t>
  </si>
  <si>
    <t>QUESTIONARIO_SOCIO_Q50</t>
  </si>
  <si>
    <t>QUESTIONARIO_SOCIO_Q51</t>
  </si>
  <si>
    <t>QUESTIONARIO_SOCIO_Q52</t>
  </si>
  <si>
    <t>QUESTIONARIO_SOCIO_Q53</t>
  </si>
  <si>
    <t>QUESTIONARIO_SOCIO_Q54</t>
  </si>
  <si>
    <t>QUESTIONARIO_SOCIO_Q55</t>
  </si>
  <si>
    <t>QUESTIONARIO_SOCIO_Q56</t>
  </si>
  <si>
    <t>QUESTIONARIO_SOCIO_Q57</t>
  </si>
  <si>
    <t>QUESTIONARIO_SOCIO_Q58</t>
  </si>
  <si>
    <t>QUESTIONARIO_SOCIO_Q59</t>
  </si>
  <si>
    <t>QUESTIONARIO_SOCIO_Q60</t>
  </si>
  <si>
    <t>QUESTIONARIO_SOCIO_Q61</t>
  </si>
  <si>
    <t>QUESTIONARIO_SOCIO_Q62</t>
  </si>
  <si>
    <t>QUESTIONARIO_SOCIO_Q63</t>
  </si>
  <si>
    <t>QUESTIONARIO_SOCIO_Q64</t>
  </si>
  <si>
    <t>QUESTIONARIO_SOCIO_Q65</t>
  </si>
  <si>
    <t>QUESTIONARIO_SOCIO_Q66</t>
  </si>
  <si>
    <t>QUESTIONARIO_SOCIO_Q67</t>
  </si>
  <si>
    <t>QUESTIONARIO_SOCIO_Q68</t>
  </si>
  <si>
    <t>QUESTIONARIO_SOCIO_Q69</t>
  </si>
  <si>
    <t>QUESTIONARIO_SOCIO_Q70</t>
  </si>
  <si>
    <t>QUESTIONARIO_SOCIO_Q71</t>
  </si>
  <si>
    <t>QUESTIONARIO_SOCIO_Q72</t>
  </si>
  <si>
    <t>QUESTIONARIO_SOCIO_Q73</t>
  </si>
  <si>
    <t>QUESTIONARIO_SOCIO_Q74</t>
  </si>
  <si>
    <t>QUESTIONARIO_SOCIO_Q75</t>
  </si>
  <si>
    <t>QUESTIONARIO_SOCIO_Q76</t>
  </si>
  <si>
    <t>QUESTIONARIO_SOCIO_Q77</t>
  </si>
  <si>
    <t>QUESTIONARIO_SOCIO_Q78</t>
  </si>
  <si>
    <t>QUESTIONARIO_SOCIO_Q79</t>
  </si>
  <si>
    <t>QUESTIONARIO_SOCIO_Q80</t>
  </si>
  <si>
    <t>QUESTIONARIO_SOCIO_Q81</t>
  </si>
  <si>
    <t>QUESTIONARIO_SOCIO_Q82</t>
  </si>
  <si>
    <t>QUESTIONARIO_SOCIO_Q83</t>
  </si>
  <si>
    <t>QUESTIONARIO_SOCIO_Q84</t>
  </si>
  <si>
    <t>QUESTIONARIO_SOCIO_Q85</t>
  </si>
  <si>
    <t>QUESTIONARIO_SOCIO_Q86</t>
  </si>
  <si>
    <t>QUESTIONARIO_SOCIO_Q87</t>
  </si>
  <si>
    <t>QUESTIONARIO_SOCIO_Q88</t>
  </si>
  <si>
    <t>QUESTIONARIO_SOCIO_Q89</t>
  </si>
  <si>
    <t>QUESTIONARIO_SOCIO_Q90</t>
  </si>
  <si>
    <t>QUESTIONARIO_SOCIO_Q91</t>
  </si>
  <si>
    <t>QUESTIONARIO_SOCIO_Q92</t>
  </si>
  <si>
    <t>QUESTIONARIO_SOCIO_Q93</t>
  </si>
  <si>
    <t>QUESTIONARIO_SOCIO_Q94</t>
  </si>
  <si>
    <t>QUESTIONARIO_SOCIO_Q95</t>
  </si>
  <si>
    <t>QUESTIONARIO_SOCIO_Q96</t>
  </si>
  <si>
    <t>QUESTIONARIO_SOCIO_Q97</t>
  </si>
  <si>
    <t>QUESTIONARIO_SOCIO_Q98</t>
  </si>
  <si>
    <t>QUESTIONARIO_SOCIO_Q99</t>
  </si>
  <si>
    <t>QUESTIONARIO_SOCIO_Q100</t>
  </si>
  <si>
    <t>QUESTIONARIO_SOCIO_Q101</t>
  </si>
  <si>
    <t>QUESTIONARIO_SOCIO_Q102</t>
  </si>
  <si>
    <t>QUESTIONARIO_SOCIO_Q103</t>
  </si>
  <si>
    <t>QUESTIONARIO_SOCIO_Q104</t>
  </si>
  <si>
    <t>QUESTIONARIO_SOCIO_Q105</t>
  </si>
  <si>
    <t>QUESTIONARIO_SOCIO_Q106</t>
  </si>
  <si>
    <t>QUESTIONARIO_SOCIO_Q107</t>
  </si>
  <si>
    <t>QUESTIONARIO_SOCIO_Q108</t>
  </si>
  <si>
    <t>QUESTIONARIO_SOCIO_Q109</t>
  </si>
  <si>
    <t>QUESTIONARIO_SOCIO_Q110</t>
  </si>
  <si>
    <t>PADRAO</t>
  </si>
  <si>
    <t>QUESTIONARIO_SOCIO_Q111</t>
  </si>
  <si>
    <t>QUESTIONARIO_SOCIO_Q112</t>
  </si>
  <si>
    <t>QUESTIONARIO_SOCIO_Q113</t>
  </si>
  <si>
    <t>QUESTIONARIO_SOCIO_Q114</t>
  </si>
  <si>
    <t>QUESTIONARIO_SOCIO_Q115</t>
  </si>
  <si>
    <t>NOVAS_2017</t>
  </si>
  <si>
    <t>ANO_FIM_EM</t>
  </si>
  <si>
    <t>CO_TURNO_GRADUACAO</t>
  </si>
  <si>
    <t>TP_INSCRICAO_ADM</t>
  </si>
  <si>
    <t>PESSOA_CONCLUSAO_2G_EM</t>
  </si>
  <si>
    <t>SITUACAO_TRABALHO</t>
  </si>
  <si>
    <t>CH_TRABALHO</t>
  </si>
  <si>
    <t>ENSINO_MEDIO</t>
  </si>
  <si>
    <t>TIPO_EM</t>
  </si>
  <si>
    <t>HORAS_ESTUDO</t>
  </si>
  <si>
    <t>RENDA</t>
  </si>
  <si>
    <t>EST_CIVIL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</si>
</sst>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/>
    <xf numFmtId="0" fontId="0" fillId="2" borderId="0" xfId="0" applyFill="1"/>
    <xf numFmtId="0" fontId="2" fillId="0" borderId="0" xfId="0" applyFont="1"/>
    <xf numFmtId="0" fontId="4" fillId="0" borderId="0" xfId="0" applyFont="1"/>
    <xf numFmtId="0" fontId="2" fillId="2" borderId="0" xfId="0" applyFont="1" applyFill="1"/>
    <xf numFmtId="0" fontId="2" fillId="0" borderId="0" xfId="0" applyFont="1" applyFill="1"/>
    <xf numFmtId="0" fontId="4" fillId="2" borderId="0" xfId="0" applyFont="1" applyFill="1"/>
    <xf numFmtId="0" fontId="5" fillId="2" borderId="0" xfId="0" applyFont="1" applyFill="1"/>
    <xf numFmtId="0" fontId="5" fillId="0" borderId="0" xfId="0" applyFont="1" applyFill="1"/>
    <xf numFmtId="0" fontId="0" fillId="0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8"/>
  <sheetViews>
    <sheetView tabSelected="1" zoomScale="153" zoomScaleNormal="153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baseColWidth="10" defaultColWidth="8.83203125" defaultRowHeight="15" x14ac:dyDescent="0.2"/>
  <cols>
    <col min="1" max="1" width="45.33203125" bestFit="1" customWidth="1"/>
    <col min="2" max="2" width="26.5" customWidth="1"/>
    <col min="3" max="3" width="12.6640625" customWidth="1"/>
    <col min="4" max="4" width="25.1640625" customWidth="1"/>
    <col min="5" max="5" width="9.33203125" customWidth="1"/>
    <col min="6" max="6" width="24" customWidth="1"/>
    <col min="7" max="7" width="12.5" customWidth="1"/>
    <col min="8" max="8" width="39.5" bestFit="1" customWidth="1"/>
    <col min="9" max="9" width="12.83203125" customWidth="1"/>
    <col min="10" max="10" width="39.5" bestFit="1" customWidth="1"/>
    <col min="11" max="11" width="20.5" bestFit="1" customWidth="1"/>
  </cols>
  <sheetData>
    <row r="1" spans="1:11" x14ac:dyDescent="0.2">
      <c r="A1" s="3" t="s">
        <v>486</v>
      </c>
      <c r="B1" s="3" t="s">
        <v>268</v>
      </c>
      <c r="C1" s="3">
        <v>2005</v>
      </c>
      <c r="D1" s="3" t="s">
        <v>269</v>
      </c>
      <c r="E1" s="3">
        <v>2008</v>
      </c>
      <c r="F1" s="3" t="s">
        <v>270</v>
      </c>
      <c r="G1" s="1">
        <v>2011</v>
      </c>
      <c r="H1" s="2" t="s">
        <v>271</v>
      </c>
      <c r="I1" s="3">
        <v>2014</v>
      </c>
      <c r="J1" s="2" t="s">
        <v>492</v>
      </c>
      <c r="K1" s="3">
        <v>2017</v>
      </c>
    </row>
    <row r="2" spans="1:11" x14ac:dyDescent="0.2">
      <c r="A2" s="6" t="s">
        <v>272</v>
      </c>
      <c r="B2" s="5" t="str">
        <f>A2</f>
        <v>ANO</v>
      </c>
      <c r="C2" t="s">
        <v>0</v>
      </c>
      <c r="D2" t="str">
        <f t="shared" ref="D2:D8" si="0">A2</f>
        <v>ANO</v>
      </c>
      <c r="E2" t="s">
        <v>0</v>
      </c>
      <c r="F2" t="str">
        <f>A2</f>
        <v>ANO</v>
      </c>
      <c r="G2" t="s">
        <v>0</v>
      </c>
      <c r="H2" t="str">
        <f>A2</f>
        <v>ANO</v>
      </c>
      <c r="I2" t="s">
        <v>0</v>
      </c>
      <c r="J2" t="str">
        <f>H2</f>
        <v>ANO</v>
      </c>
      <c r="K2" t="s">
        <v>0</v>
      </c>
    </row>
    <row r="3" spans="1:11" x14ac:dyDescent="0.2">
      <c r="A3" s="6" t="s">
        <v>273</v>
      </c>
      <c r="B3" s="5" t="str">
        <f>A3</f>
        <v>IES_COD_MEC</v>
      </c>
      <c r="C3" t="s">
        <v>1</v>
      </c>
      <c r="D3" t="str">
        <f t="shared" si="0"/>
        <v>IES_COD_MEC</v>
      </c>
      <c r="E3" t="s">
        <v>1</v>
      </c>
      <c r="F3" t="str">
        <f t="shared" ref="F3:F6" si="1">A3</f>
        <v>IES_COD_MEC</v>
      </c>
      <c r="G3" t="s">
        <v>1</v>
      </c>
      <c r="H3" t="str">
        <f t="shared" ref="H3:H6" si="2">A3</f>
        <v>IES_COD_MEC</v>
      </c>
      <c r="I3" t="s">
        <v>1</v>
      </c>
      <c r="J3" t="str">
        <f t="shared" ref="J3:J15" si="3">H3</f>
        <v>IES_COD_MEC</v>
      </c>
      <c r="K3" t="s">
        <v>1</v>
      </c>
    </row>
    <row r="4" spans="1:11" x14ac:dyDescent="0.2">
      <c r="A4" s="6" t="s">
        <v>274</v>
      </c>
      <c r="B4" s="5" t="str">
        <f t="shared" ref="B4:B6" si="4">A4</f>
        <v>IES_CATEGORIA</v>
      </c>
      <c r="C4" t="s">
        <v>115</v>
      </c>
      <c r="D4" t="str">
        <f t="shared" si="0"/>
        <v>IES_CATEGORIA</v>
      </c>
      <c r="E4" t="s">
        <v>115</v>
      </c>
      <c r="F4" t="str">
        <f t="shared" si="1"/>
        <v>IES_CATEGORIA</v>
      </c>
      <c r="G4" t="s">
        <v>2</v>
      </c>
      <c r="H4" t="str">
        <f t="shared" si="2"/>
        <v>IES_CATEGORIA</v>
      </c>
      <c r="I4" t="s">
        <v>2</v>
      </c>
      <c r="J4" t="str">
        <f t="shared" si="3"/>
        <v>IES_CATEGORIA</v>
      </c>
      <c r="K4" t="s">
        <v>2</v>
      </c>
    </row>
    <row r="5" spans="1:11" x14ac:dyDescent="0.2">
      <c r="A5" s="6" t="s">
        <v>275</v>
      </c>
      <c r="B5" s="5" t="str">
        <f t="shared" si="4"/>
        <v>IES_TIPO</v>
      </c>
      <c r="C5" t="s">
        <v>116</v>
      </c>
      <c r="D5" t="str">
        <f t="shared" si="0"/>
        <v>IES_TIPO</v>
      </c>
      <c r="E5" t="s">
        <v>116</v>
      </c>
      <c r="F5" t="str">
        <f t="shared" si="1"/>
        <v>IES_TIPO</v>
      </c>
      <c r="G5" t="s">
        <v>3</v>
      </c>
      <c r="H5" t="str">
        <f t="shared" si="2"/>
        <v>IES_TIPO</v>
      </c>
      <c r="I5" t="s">
        <v>3</v>
      </c>
      <c r="J5" t="str">
        <f t="shared" si="3"/>
        <v>IES_TIPO</v>
      </c>
      <c r="K5" t="s">
        <v>3</v>
      </c>
    </row>
    <row r="6" spans="1:11" x14ac:dyDescent="0.2">
      <c r="A6" s="6" t="s">
        <v>276</v>
      </c>
      <c r="B6" s="5" t="str">
        <f t="shared" si="4"/>
        <v>CURSO_GRUPO</v>
      </c>
      <c r="C6" t="s">
        <v>4</v>
      </c>
      <c r="D6" t="str">
        <f t="shared" si="0"/>
        <v>CURSO_GRUPO</v>
      </c>
      <c r="E6" t="s">
        <v>4</v>
      </c>
      <c r="F6" t="str">
        <f t="shared" si="1"/>
        <v>CURSO_GRUPO</v>
      </c>
      <c r="G6" t="s">
        <v>4</v>
      </c>
      <c r="H6" t="str">
        <f t="shared" si="2"/>
        <v>CURSO_GRUPO</v>
      </c>
      <c r="I6" t="s">
        <v>4</v>
      </c>
      <c r="J6" t="str">
        <f t="shared" si="3"/>
        <v>CURSO_GRUPO</v>
      </c>
      <c r="K6" t="s">
        <v>4</v>
      </c>
    </row>
    <row r="7" spans="1:11" x14ac:dyDescent="0.2">
      <c r="A7" s="9" t="s">
        <v>277</v>
      </c>
      <c r="B7" s="5" t="str">
        <f>A8</f>
        <v>CURSO_REGIAO</v>
      </c>
      <c r="C7" t="s">
        <v>117</v>
      </c>
      <c r="D7" s="11" t="str">
        <f t="shared" si="0"/>
        <v>CURSO_ESPECIFICACAO</v>
      </c>
      <c r="E7" s="10" t="s">
        <v>246</v>
      </c>
      <c r="F7" t="str">
        <f>A11</f>
        <v>CURSO_MEC</v>
      </c>
      <c r="G7" t="s">
        <v>5</v>
      </c>
      <c r="H7" s="11" t="str">
        <f>A11</f>
        <v>CURSO_MEC</v>
      </c>
      <c r="I7" t="s">
        <v>5</v>
      </c>
      <c r="J7" t="str">
        <f t="shared" si="3"/>
        <v>CURSO_MEC</v>
      </c>
      <c r="K7" t="s">
        <v>5</v>
      </c>
    </row>
    <row r="8" spans="1:11" x14ac:dyDescent="0.2">
      <c r="A8" s="5" t="s">
        <v>278</v>
      </c>
      <c r="B8" s="5" t="str">
        <f t="shared" ref="B8:B10" si="5">A9</f>
        <v>CURSO_UF</v>
      </c>
      <c r="C8" t="s">
        <v>118</v>
      </c>
      <c r="D8" t="str">
        <f t="shared" si="0"/>
        <v>CURSO_REGIAO</v>
      </c>
      <c r="E8" t="s">
        <v>117</v>
      </c>
      <c r="F8" t="str">
        <f>A12</f>
        <v>CURSO_MODALIDADE</v>
      </c>
      <c r="G8" t="s">
        <v>6</v>
      </c>
      <c r="H8" s="12" t="str">
        <f>A12</f>
        <v>CURSO_MODALIDADE</v>
      </c>
      <c r="I8" t="s">
        <v>6</v>
      </c>
      <c r="J8" t="str">
        <f t="shared" si="3"/>
        <v>CURSO_MODALIDADE</v>
      </c>
      <c r="K8" t="s">
        <v>6</v>
      </c>
    </row>
    <row r="9" spans="1:11" x14ac:dyDescent="0.2">
      <c r="A9" s="5" t="s">
        <v>279</v>
      </c>
      <c r="B9" s="5" t="str">
        <f t="shared" si="5"/>
        <v>CURSO_MUNICIPIO</v>
      </c>
      <c r="C9" t="s">
        <v>119</v>
      </c>
      <c r="D9" t="str">
        <f t="shared" ref="D9:D11" si="6">A9</f>
        <v>CURSO_UF</v>
      </c>
      <c r="E9" t="s">
        <v>118</v>
      </c>
      <c r="F9" t="str">
        <f t="shared" ref="F9:F13" si="7">A10</f>
        <v>CURSO_MUNICIPIO</v>
      </c>
      <c r="G9" t="s">
        <v>7</v>
      </c>
      <c r="H9" t="str">
        <f>A10</f>
        <v>CURSO_MUNICIPIO</v>
      </c>
      <c r="I9" t="s">
        <v>7</v>
      </c>
      <c r="J9" t="str">
        <f t="shared" si="3"/>
        <v>CURSO_MUNICIPIO</v>
      </c>
      <c r="K9" t="s">
        <v>7</v>
      </c>
    </row>
    <row r="10" spans="1:11" x14ac:dyDescent="0.2">
      <c r="A10" s="5" t="s">
        <v>280</v>
      </c>
      <c r="B10" s="5" t="str">
        <f t="shared" si="5"/>
        <v>CURSO_MEC</v>
      </c>
      <c r="C10" t="s">
        <v>5</v>
      </c>
      <c r="D10" t="str">
        <f t="shared" si="6"/>
        <v>CURSO_MUNICIPIO</v>
      </c>
      <c r="E10" t="s">
        <v>119</v>
      </c>
      <c r="F10" t="str">
        <f>A9</f>
        <v>CURSO_UF</v>
      </c>
      <c r="G10" t="s">
        <v>8</v>
      </c>
      <c r="H10" t="str">
        <f>A9</f>
        <v>CURSO_UF</v>
      </c>
      <c r="I10" t="s">
        <v>8</v>
      </c>
      <c r="J10" t="str">
        <f t="shared" si="3"/>
        <v>CURSO_UF</v>
      </c>
      <c r="K10" t="s">
        <v>8</v>
      </c>
    </row>
    <row r="11" spans="1:11" x14ac:dyDescent="0.2">
      <c r="A11" s="5" t="s">
        <v>281</v>
      </c>
      <c r="B11" s="5" t="str">
        <f>A13</f>
        <v>PESSOA_IDADE</v>
      </c>
      <c r="C11" t="s">
        <v>10</v>
      </c>
      <c r="D11" t="str">
        <f t="shared" si="6"/>
        <v>CURSO_MEC</v>
      </c>
      <c r="E11" t="s">
        <v>5</v>
      </c>
      <c r="F11" t="str">
        <f>A8</f>
        <v>CURSO_REGIAO</v>
      </c>
      <c r="G11" t="s">
        <v>9</v>
      </c>
      <c r="H11" t="str">
        <f>A8</f>
        <v>CURSO_REGIAO</v>
      </c>
      <c r="I11" t="s">
        <v>9</v>
      </c>
      <c r="J11" t="str">
        <f t="shared" si="3"/>
        <v>CURSO_REGIAO</v>
      </c>
      <c r="K11" t="s">
        <v>9</v>
      </c>
    </row>
    <row r="12" spans="1:11" x14ac:dyDescent="0.2">
      <c r="A12" s="5" t="s">
        <v>282</v>
      </c>
      <c r="B12" s="5" t="str">
        <f t="shared" ref="B12:B23" si="8">A14</f>
        <v>PESSOA_SEXO</v>
      </c>
      <c r="C12" t="s">
        <v>11</v>
      </c>
      <c r="D12" t="str">
        <f>A13</f>
        <v>PESSOA_IDADE</v>
      </c>
      <c r="E12" t="s">
        <v>10</v>
      </c>
      <c r="F12" t="str">
        <f t="shared" si="7"/>
        <v>PESSOA_IDADE</v>
      </c>
      <c r="G12" t="s">
        <v>10</v>
      </c>
      <c r="H12" t="str">
        <f>A13</f>
        <v>PESSOA_IDADE</v>
      </c>
      <c r="I12" t="s">
        <v>10</v>
      </c>
      <c r="J12" t="str">
        <f t="shared" si="3"/>
        <v>PESSOA_IDADE</v>
      </c>
      <c r="K12" t="s">
        <v>10</v>
      </c>
    </row>
    <row r="13" spans="1:11" x14ac:dyDescent="0.2">
      <c r="A13" s="5" t="s">
        <v>283</v>
      </c>
      <c r="B13" s="5" t="str">
        <f t="shared" si="8"/>
        <v>PESSOA_MUNICIPIO</v>
      </c>
      <c r="C13" t="s">
        <v>120</v>
      </c>
      <c r="D13" t="str">
        <f>A14</f>
        <v>PESSOA_SEXO</v>
      </c>
      <c r="E13" t="s">
        <v>11</v>
      </c>
      <c r="F13" t="str">
        <f t="shared" si="7"/>
        <v>PESSOA_SEXO</v>
      </c>
      <c r="G13" t="s">
        <v>11</v>
      </c>
      <c r="H13" t="str">
        <f>A14</f>
        <v>PESSOA_SEXO</v>
      </c>
      <c r="I13" t="s">
        <v>11</v>
      </c>
      <c r="J13" t="str">
        <f t="shared" si="3"/>
        <v>PESSOA_SEXO</v>
      </c>
      <c r="K13" t="s">
        <v>11</v>
      </c>
    </row>
    <row r="14" spans="1:11" x14ac:dyDescent="0.2">
      <c r="A14" s="5" t="s">
        <v>284</v>
      </c>
      <c r="B14" s="5" t="str">
        <f t="shared" si="8"/>
        <v>PESSOA_UF</v>
      </c>
      <c r="C14" t="s">
        <v>121</v>
      </c>
      <c r="D14" t="str">
        <f>A16</f>
        <v>PESSOA_UF</v>
      </c>
      <c r="E14" t="s">
        <v>121</v>
      </c>
      <c r="F14" t="str">
        <f>A17</f>
        <v>PESSOA_CONCLUSAO_2G_EM</v>
      </c>
      <c r="G14" t="s">
        <v>12</v>
      </c>
      <c r="H14" t="str">
        <f>A17</f>
        <v>PESSOA_CONCLUSAO_2G_EM</v>
      </c>
      <c r="I14" t="s">
        <v>12</v>
      </c>
      <c r="J14" t="str">
        <f t="shared" si="3"/>
        <v>PESSOA_CONCLUSAO_2G_EM</v>
      </c>
      <c r="K14" t="s">
        <v>493</v>
      </c>
    </row>
    <row r="15" spans="1:11" x14ac:dyDescent="0.2">
      <c r="A15" s="7" t="s">
        <v>285</v>
      </c>
      <c r="B15" s="5" t="str">
        <f t="shared" si="8"/>
        <v>PESSOA_CONCLUSAO_2G_EM</v>
      </c>
      <c r="C15" t="s">
        <v>12</v>
      </c>
      <c r="D15" t="str">
        <f t="shared" ref="D15:D35" si="9">A17</f>
        <v>PESSOA_CONCLUSAO_2G_EM</v>
      </c>
      <c r="E15" t="s">
        <v>12</v>
      </c>
      <c r="F15" t="str">
        <f t="shared" ref="F15:F19" si="10">A18</f>
        <v>PESSOA_CURSO_ANO_ENTRADA</v>
      </c>
      <c r="G15" t="s">
        <v>13</v>
      </c>
      <c r="H15" t="str">
        <f>A18</f>
        <v>PESSOA_CURSO_ANO_ENTRADA</v>
      </c>
      <c r="I15" t="s">
        <v>13</v>
      </c>
      <c r="J15" t="str">
        <f t="shared" si="3"/>
        <v>PESSOA_CURSO_ANO_ENTRADA</v>
      </c>
      <c r="K15" t="s">
        <v>13</v>
      </c>
    </row>
    <row r="16" spans="1:11" x14ac:dyDescent="0.2">
      <c r="A16" s="7" t="s">
        <v>286</v>
      </c>
      <c r="B16" s="5" t="str">
        <f t="shared" si="8"/>
        <v>PESSOA_CURSO_ANO_ENTRADA</v>
      </c>
      <c r="C16" t="s">
        <v>122</v>
      </c>
      <c r="D16" t="str">
        <f t="shared" si="9"/>
        <v>PESSOA_CURSO_ANO_ENTRADA</v>
      </c>
      <c r="E16" t="s">
        <v>247</v>
      </c>
      <c r="F16" t="str">
        <f t="shared" si="10"/>
        <v>PESSOA_CURSO_SEMESTRE_ENTRADA</v>
      </c>
      <c r="G16" t="s">
        <v>14</v>
      </c>
      <c r="H16" t="str">
        <f t="shared" ref="H16:H19" si="11">A19</f>
        <v>PESSOA_CURSO_SEMESTRE_ENTRADA</v>
      </c>
      <c r="I16" t="s">
        <v>14</v>
      </c>
      <c r="J16" s="4" t="s">
        <v>494</v>
      </c>
      <c r="K16" s="4" t="s">
        <v>494</v>
      </c>
    </row>
    <row r="17" spans="1:11" x14ac:dyDescent="0.2">
      <c r="A17" s="5" t="s">
        <v>496</v>
      </c>
      <c r="B17" s="5" t="str">
        <f t="shared" si="8"/>
        <v>PESSOA_CURSO_SEMESTRE_ENTRADA</v>
      </c>
      <c r="C17" t="s">
        <v>123</v>
      </c>
      <c r="D17" t="str">
        <f t="shared" si="9"/>
        <v>PESSOA_CURSO_SEMESTRE_ENTRADA</v>
      </c>
      <c r="E17" t="s">
        <v>123</v>
      </c>
      <c r="F17" t="str">
        <f t="shared" si="10"/>
        <v>PESSOA_CURSO_TURNO_MAT</v>
      </c>
      <c r="G17" t="s">
        <v>15</v>
      </c>
      <c r="H17" t="str">
        <f t="shared" si="11"/>
        <v>PESSOA_CURSO_TURNO_MAT</v>
      </c>
      <c r="I17" t="s">
        <v>15</v>
      </c>
      <c r="J17" s="4" t="s">
        <v>495</v>
      </c>
      <c r="K17" s="4" t="s">
        <v>495</v>
      </c>
    </row>
    <row r="18" spans="1:11" x14ac:dyDescent="0.2">
      <c r="A18" s="5" t="s">
        <v>287</v>
      </c>
      <c r="B18" s="5" t="str">
        <f t="shared" si="8"/>
        <v>PESSOA_CURSO_TURNO_MAT</v>
      </c>
      <c r="C18" t="s">
        <v>15</v>
      </c>
      <c r="D18" t="str">
        <f t="shared" si="9"/>
        <v>PESSOA_CURSO_TURNO_MAT</v>
      </c>
      <c r="E18" t="s">
        <v>15</v>
      </c>
      <c r="F18" t="str">
        <f t="shared" si="10"/>
        <v>PESSOA_CURSO_TURNO_VESP</v>
      </c>
      <c r="G18" t="s">
        <v>16</v>
      </c>
      <c r="H18" t="str">
        <f t="shared" si="11"/>
        <v>PESSOA_CURSO_TURNO_VESP</v>
      </c>
      <c r="I18" t="s">
        <v>16</v>
      </c>
      <c r="J18" t="str">
        <f>H22</f>
        <v>PESSOA_CONCLUINTE</v>
      </c>
      <c r="K18" t="s">
        <v>20</v>
      </c>
    </row>
    <row r="19" spans="1:11" x14ac:dyDescent="0.2">
      <c r="A19" s="5" t="s">
        <v>288</v>
      </c>
      <c r="B19" s="5" t="str">
        <f t="shared" si="8"/>
        <v>PESSOA_CURSO_TURNO_VESP</v>
      </c>
      <c r="C19" t="s">
        <v>16</v>
      </c>
      <c r="D19" t="str">
        <f t="shared" si="9"/>
        <v>PESSOA_CURSO_TURNO_VESP</v>
      </c>
      <c r="E19" t="s">
        <v>16</v>
      </c>
      <c r="F19" t="str">
        <f t="shared" si="10"/>
        <v>PESSOA_CURSO_TURNO_NOT</v>
      </c>
      <c r="G19" t="s">
        <v>17</v>
      </c>
      <c r="H19" t="str">
        <f t="shared" si="11"/>
        <v>PESSOA_CURSO_TURNO_NOT</v>
      </c>
      <c r="I19" t="s">
        <v>17</v>
      </c>
      <c r="J19" t="str">
        <f>H23</f>
        <v>PROVA_FG_OBJETIVAS_NUM_QUESTOES</v>
      </c>
      <c r="K19" t="s">
        <v>21</v>
      </c>
    </row>
    <row r="20" spans="1:11" x14ac:dyDescent="0.2">
      <c r="A20" s="5" t="s">
        <v>289</v>
      </c>
      <c r="B20" s="5" t="str">
        <f t="shared" si="8"/>
        <v>PESSOA_CURSO_TURNO_NOT</v>
      </c>
      <c r="C20" t="s">
        <v>17</v>
      </c>
      <c r="D20" t="str">
        <f t="shared" si="9"/>
        <v>PESSOA_CURSO_TURNO_NOT</v>
      </c>
      <c r="E20" t="s">
        <v>17</v>
      </c>
      <c r="F20" t="str">
        <f>A26</f>
        <v>PESSOA_INSCRICAO_REGULAR</v>
      </c>
      <c r="G20" t="s">
        <v>18</v>
      </c>
      <c r="H20" t="str">
        <f>A26</f>
        <v>PESSOA_INSCRICAO_REGULAR</v>
      </c>
      <c r="I20" t="s">
        <v>18</v>
      </c>
      <c r="J20" s="4" t="s">
        <v>256</v>
      </c>
      <c r="K20" s="4" t="s">
        <v>256</v>
      </c>
    </row>
    <row r="21" spans="1:11" x14ac:dyDescent="0.2">
      <c r="A21" s="5" t="s">
        <v>290</v>
      </c>
      <c r="B21" s="5" t="str">
        <f t="shared" si="8"/>
        <v>PESSOA_AMOSTRA_PARTICIPANTE</v>
      </c>
      <c r="C21" t="s">
        <v>19</v>
      </c>
      <c r="D21" t="str">
        <f t="shared" si="9"/>
        <v>PESSOA_AMOSTRA_PARTICIPANTE</v>
      </c>
      <c r="E21" t="s">
        <v>19</v>
      </c>
      <c r="F21" t="str">
        <f>A23</f>
        <v>PESSOA_AMOSTRA_PARTICIPANTE</v>
      </c>
      <c r="G21" t="s">
        <v>19</v>
      </c>
      <c r="H21" t="str">
        <f>A23</f>
        <v>PESSOA_AMOSTRA_PARTICIPANTE</v>
      </c>
      <c r="I21" t="s">
        <v>19</v>
      </c>
      <c r="J21" s="4" t="s">
        <v>257</v>
      </c>
      <c r="K21" s="4" t="s">
        <v>257</v>
      </c>
    </row>
    <row r="22" spans="1:11" x14ac:dyDescent="0.2">
      <c r="A22" s="5" t="s">
        <v>291</v>
      </c>
      <c r="B22" s="5" t="str">
        <f t="shared" si="8"/>
        <v>PESSOA_AMOSTRA_PESO</v>
      </c>
      <c r="C22" t="s">
        <v>124</v>
      </c>
      <c r="D22" t="str">
        <f t="shared" si="9"/>
        <v>PESSOA_AMOSTRA_PESO</v>
      </c>
      <c r="E22" t="s">
        <v>124</v>
      </c>
      <c r="F22" t="str">
        <f>A25</f>
        <v>PESSOA_CONCLUINTE</v>
      </c>
      <c r="G22" t="s">
        <v>20</v>
      </c>
      <c r="H22" t="str">
        <f>A25</f>
        <v>PESSOA_CONCLUINTE</v>
      </c>
      <c r="I22" t="s">
        <v>20</v>
      </c>
      <c r="J22" s="4" t="s">
        <v>258</v>
      </c>
      <c r="K22" s="4" t="s">
        <v>258</v>
      </c>
    </row>
    <row r="23" spans="1:11" x14ac:dyDescent="0.2">
      <c r="A23" s="5" t="s">
        <v>292</v>
      </c>
      <c r="B23" s="5" t="str">
        <f t="shared" si="8"/>
        <v>PESSOA_CONCLUINTE</v>
      </c>
      <c r="C23" t="s">
        <v>125</v>
      </c>
      <c r="D23" t="str">
        <f t="shared" si="9"/>
        <v>PESSOA_CONCLUINTE</v>
      </c>
      <c r="E23" t="s">
        <v>125</v>
      </c>
      <c r="F23" t="str">
        <f>A57</f>
        <v>PROVA_FG_OBJETIVAS_NUM_QUESTOES</v>
      </c>
      <c r="G23" t="s">
        <v>21</v>
      </c>
      <c r="H23" t="str">
        <f>F23</f>
        <v>PROVA_FG_OBJETIVAS_NUM_QUESTOES</v>
      </c>
      <c r="I23" t="s">
        <v>21</v>
      </c>
      <c r="J23" t="str">
        <f>H27</f>
        <v>PROVA_FE_OBJETIVAS_NUM_QUESTOES</v>
      </c>
      <c r="K23" t="s">
        <v>22</v>
      </c>
    </row>
    <row r="24" spans="1:11" x14ac:dyDescent="0.2">
      <c r="A24" s="7" t="s">
        <v>293</v>
      </c>
      <c r="B24" s="5" t="str">
        <f>A27</f>
        <v>PESSOA_NECESPECIAIS_FISICA</v>
      </c>
      <c r="C24" t="s">
        <v>126</v>
      </c>
      <c r="D24" t="str">
        <f t="shared" si="9"/>
        <v>PESSOA_INSCRICAO_REGULAR</v>
      </c>
      <c r="E24" t="s">
        <v>248</v>
      </c>
      <c r="F24" t="str">
        <f>A59</f>
        <v>PROVA_FE_OBJETIVAS_NUM_QUESTOES</v>
      </c>
      <c r="G24" t="s">
        <v>22</v>
      </c>
      <c r="H24" s="4" t="s">
        <v>256</v>
      </c>
      <c r="I24" s="4" t="s">
        <v>256</v>
      </c>
      <c r="J24" s="4" t="s">
        <v>259</v>
      </c>
      <c r="K24" s="4" t="s">
        <v>259</v>
      </c>
    </row>
    <row r="25" spans="1:11" x14ac:dyDescent="0.2">
      <c r="A25" s="5" t="s">
        <v>294</v>
      </c>
      <c r="B25" s="5" t="str">
        <f t="shared" ref="B25:B53" si="12">A28</f>
        <v>PESSOA_NECESPECIAIS_VISUAL</v>
      </c>
      <c r="C25" t="s">
        <v>127</v>
      </c>
      <c r="D25" t="str">
        <f t="shared" si="9"/>
        <v>PESSOA_NECESPECIAIS_FISICA</v>
      </c>
      <c r="E25" t="s">
        <v>126</v>
      </c>
      <c r="F25" t="str">
        <f t="shared" ref="F25:F30" si="13">A61</f>
        <v>PROVA_FG_OBJETIVAS_GABARITO</v>
      </c>
      <c r="G25" t="s">
        <v>23</v>
      </c>
      <c r="H25" s="4" t="s">
        <v>257</v>
      </c>
      <c r="I25" s="4" t="s">
        <v>257</v>
      </c>
      <c r="J25" s="4" t="s">
        <v>260</v>
      </c>
      <c r="K25" s="4" t="s">
        <v>260</v>
      </c>
    </row>
    <row r="26" spans="1:11" x14ac:dyDescent="0.2">
      <c r="A26" s="5" t="s">
        <v>295</v>
      </c>
      <c r="B26" s="5" t="str">
        <f t="shared" si="12"/>
        <v>PESSOA_NECESPECIAIS_AUDITIVA</v>
      </c>
      <c r="C26" t="s">
        <v>128</v>
      </c>
      <c r="D26" t="str">
        <f t="shared" si="9"/>
        <v>PESSOA_NECESPECIAIS_VISUAL</v>
      </c>
      <c r="E26" t="s">
        <v>127</v>
      </c>
      <c r="F26" t="str">
        <f t="shared" si="13"/>
        <v>PROVA_FE_OBJETIVAS_GABARITO</v>
      </c>
      <c r="G26" t="s">
        <v>24</v>
      </c>
      <c r="H26" s="4" t="s">
        <v>258</v>
      </c>
      <c r="I26" s="4" t="s">
        <v>258</v>
      </c>
      <c r="J26" s="4" t="s">
        <v>261</v>
      </c>
      <c r="K26" s="4" t="s">
        <v>261</v>
      </c>
    </row>
    <row r="27" spans="1:11" x14ac:dyDescent="0.2">
      <c r="A27" s="5" t="s">
        <v>296</v>
      </c>
      <c r="B27" s="5" t="str">
        <f t="shared" si="12"/>
        <v>PROVA_DISCENTE_PRESENTE_ENADE</v>
      </c>
      <c r="C27" t="s">
        <v>29</v>
      </c>
      <c r="D27" t="str">
        <f t="shared" si="9"/>
        <v>PESSOA_NECESPECIAIS_AUDITIVA</v>
      </c>
      <c r="E27" t="s">
        <v>128</v>
      </c>
      <c r="F27" t="str">
        <f t="shared" si="13"/>
        <v>PROVA_FG_OBJETIVAS_RESPOSTAS_DISCENTE</v>
      </c>
      <c r="G27" t="s">
        <v>25</v>
      </c>
      <c r="H27" t="str">
        <f>F24</f>
        <v>PROVA_FE_OBJETIVAS_NUM_QUESTOES</v>
      </c>
      <c r="I27" t="s">
        <v>22</v>
      </c>
      <c r="J27" s="4" t="s">
        <v>262</v>
      </c>
      <c r="K27" s="4" t="s">
        <v>262</v>
      </c>
    </row>
    <row r="28" spans="1:11" x14ac:dyDescent="0.2">
      <c r="A28" s="5" t="s">
        <v>297</v>
      </c>
      <c r="B28" s="5" t="str">
        <f t="shared" si="12"/>
        <v>PROVA_DISCENTE_FEZ_PROVA</v>
      </c>
      <c r="C28" t="s">
        <v>30</v>
      </c>
      <c r="D28" t="str">
        <f t="shared" si="9"/>
        <v>PROVA_DISCENTE_PRESENTE_ENADE</v>
      </c>
      <c r="E28" t="s">
        <v>29</v>
      </c>
      <c r="F28" t="str">
        <f t="shared" si="13"/>
        <v>PROVA_FG_OBJETIVAS_ACERTOS_DISCENTE</v>
      </c>
      <c r="G28" t="s">
        <v>26</v>
      </c>
      <c r="H28" s="10" t="s">
        <v>259</v>
      </c>
      <c r="I28" s="4" t="s">
        <v>259</v>
      </c>
      <c r="J28" t="str">
        <f>H32</f>
        <v>PROVA_FG_OBJETIVAS_GABARITO</v>
      </c>
      <c r="K28" t="s">
        <v>23</v>
      </c>
    </row>
    <row r="29" spans="1:11" x14ac:dyDescent="0.2">
      <c r="A29" s="5" t="s">
        <v>298</v>
      </c>
      <c r="B29" s="5" t="str">
        <f t="shared" si="12"/>
        <v>PROVA_FG_OBJETIVAS_DISCENTE_FEZ_PROVA</v>
      </c>
      <c r="C29" t="s">
        <v>31</v>
      </c>
      <c r="D29" t="str">
        <f t="shared" si="9"/>
        <v>PROVA_DISCENTE_FEZ_PROVA</v>
      </c>
      <c r="E29" t="s">
        <v>30</v>
      </c>
      <c r="F29" t="str">
        <f t="shared" si="13"/>
        <v>PROVA_FE_OBJETIVAS_RESPOSTAS_DISCENTE</v>
      </c>
      <c r="G29" t="s">
        <v>27</v>
      </c>
      <c r="H29" s="10" t="s">
        <v>260</v>
      </c>
      <c r="I29" s="4" t="s">
        <v>260</v>
      </c>
      <c r="J29" s="4" t="s">
        <v>263</v>
      </c>
      <c r="K29" s="4" t="s">
        <v>263</v>
      </c>
    </row>
    <row r="30" spans="1:11" x14ac:dyDescent="0.2">
      <c r="A30" s="5" t="s">
        <v>299</v>
      </c>
      <c r="B30" s="5" t="str">
        <f t="shared" si="12"/>
        <v>PROVA_FG_DISCURSIVAS_DISCENTE_FEZ_PROVA</v>
      </c>
      <c r="C30" t="s">
        <v>32</v>
      </c>
      <c r="D30" t="str">
        <f t="shared" si="9"/>
        <v>PROVA_FG_OBJETIVAS_DISCENTE_FEZ_PROVA</v>
      </c>
      <c r="E30" t="s">
        <v>31</v>
      </c>
      <c r="F30" t="str">
        <f t="shared" si="13"/>
        <v>PROVA_FE_OBJETIVAS_ACERTOS_DISCENTE</v>
      </c>
      <c r="G30" t="s">
        <v>28</v>
      </c>
      <c r="H30" s="10" t="s">
        <v>261</v>
      </c>
      <c r="I30" s="4" t="s">
        <v>261</v>
      </c>
      <c r="J30" t="str">
        <f>H34</f>
        <v>PROVA_FE_OBJETIVAS_GABARITO</v>
      </c>
      <c r="K30" t="s">
        <v>24</v>
      </c>
    </row>
    <row r="31" spans="1:11" x14ac:dyDescent="0.2">
      <c r="A31" s="5" t="s">
        <v>300</v>
      </c>
      <c r="B31" s="5" t="str">
        <f t="shared" si="12"/>
        <v>PROVA_FE_OBJETIVAS_DISCENTE_FEZ_PROVA</v>
      </c>
      <c r="C31" t="s">
        <v>33</v>
      </c>
      <c r="D31" t="str">
        <f t="shared" si="9"/>
        <v>PROVA_FG_DISCURSIVAS_DISCENTE_FEZ_PROVA</v>
      </c>
      <c r="E31" t="s">
        <v>32</v>
      </c>
      <c r="F31" t="str">
        <f t="shared" ref="F31:F38" si="14">A30</f>
        <v>PROVA_DISCENTE_PRESENTE_ENADE</v>
      </c>
      <c r="G31" t="s">
        <v>29</v>
      </c>
      <c r="H31" s="10" t="s">
        <v>262</v>
      </c>
      <c r="I31" s="4" t="s">
        <v>262</v>
      </c>
      <c r="J31" t="str">
        <f>H35</f>
        <v>PROVA_FG_OBJETIVAS_RESPOSTAS_DISCENTE</v>
      </c>
      <c r="K31" t="s">
        <v>25</v>
      </c>
    </row>
    <row r="32" spans="1:11" x14ac:dyDescent="0.2">
      <c r="A32" s="5" t="s">
        <v>301</v>
      </c>
      <c r="B32" s="5" t="str">
        <f t="shared" si="12"/>
        <v>PROVA_FE_DISCURSIVA_DISCENTE_FEZ_PROVA</v>
      </c>
      <c r="C32" t="s">
        <v>34</v>
      </c>
      <c r="D32" t="str">
        <f t="shared" si="9"/>
        <v>PROVA_FE_OBJETIVAS_DISCENTE_FEZ_PROVA</v>
      </c>
      <c r="E32" t="s">
        <v>33</v>
      </c>
      <c r="F32" t="str">
        <f t="shared" si="14"/>
        <v>PROVA_DISCENTE_FEZ_PROVA</v>
      </c>
      <c r="G32" t="s">
        <v>30</v>
      </c>
      <c r="H32" t="str">
        <f>F25</f>
        <v>PROVA_FG_OBJETIVAS_GABARITO</v>
      </c>
      <c r="I32" t="s">
        <v>23</v>
      </c>
      <c r="J32" t="str">
        <f>H36</f>
        <v>PROVA_FG_OBJETIVAS_ACERTOS_DISCENTE</v>
      </c>
      <c r="K32" t="s">
        <v>26</v>
      </c>
    </row>
    <row r="33" spans="1:11" x14ac:dyDescent="0.2">
      <c r="A33" s="5" t="s">
        <v>302</v>
      </c>
      <c r="B33" s="5" t="str">
        <f t="shared" si="12"/>
        <v>PROVA_FG_DISCURSIVA_DISCENTE_Q1_SITUACAO</v>
      </c>
      <c r="C33" t="s">
        <v>35</v>
      </c>
      <c r="D33" t="str">
        <f t="shared" si="9"/>
        <v>PROVA_FE_DISCURSIVA_DISCENTE_FEZ_PROVA</v>
      </c>
      <c r="E33" t="s">
        <v>34</v>
      </c>
      <c r="F33" t="str">
        <f t="shared" si="14"/>
        <v>PROVA_FG_OBJETIVAS_DISCENTE_FEZ_PROVA</v>
      </c>
      <c r="G33" t="s">
        <v>31</v>
      </c>
      <c r="H33" s="4" t="s">
        <v>263</v>
      </c>
      <c r="I33" s="4" t="s">
        <v>263</v>
      </c>
      <c r="J33" t="str">
        <f t="shared" ref="J33:J34" si="15">H37</f>
        <v>PROVA_FE_OBJETIVAS_RESPOSTAS_DISCENTE</v>
      </c>
      <c r="K33" t="s">
        <v>27</v>
      </c>
    </row>
    <row r="34" spans="1:11" x14ac:dyDescent="0.2">
      <c r="A34" s="5" t="s">
        <v>303</v>
      </c>
      <c r="B34" s="5" t="str">
        <f t="shared" si="12"/>
        <v>PROVA_FG_DISCURSIVA_DISCENTE_Q2_SITUACAO</v>
      </c>
      <c r="C34" t="s">
        <v>36</v>
      </c>
      <c r="D34" t="str">
        <f t="shared" si="9"/>
        <v>PROVA_FG_DISCURSIVA_DISCENTE_Q1_SITUACAO</v>
      </c>
      <c r="E34" t="s">
        <v>35</v>
      </c>
      <c r="F34" t="str">
        <f t="shared" si="14"/>
        <v>PROVA_FG_DISCURSIVAS_DISCENTE_FEZ_PROVA</v>
      </c>
      <c r="G34" t="s">
        <v>32</v>
      </c>
      <c r="H34" t="str">
        <f t="shared" ref="H34:H39" si="16">F26</f>
        <v>PROVA_FE_OBJETIVAS_GABARITO</v>
      </c>
      <c r="I34" t="s">
        <v>24</v>
      </c>
      <c r="J34" t="str">
        <f t="shared" si="15"/>
        <v>PROVA_FE_OBJETIVAS_ACERTOS_DISCENTE</v>
      </c>
      <c r="K34" t="s">
        <v>28</v>
      </c>
    </row>
    <row r="35" spans="1:11" x14ac:dyDescent="0.2">
      <c r="A35" s="5" t="s">
        <v>304</v>
      </c>
      <c r="B35" s="5" t="str">
        <f t="shared" si="12"/>
        <v>PROVA_FG_DISCURSIVA_DISCENTE_Q3_SITUACAO</v>
      </c>
      <c r="C35" t="s">
        <v>129</v>
      </c>
      <c r="D35" t="str">
        <f t="shared" si="9"/>
        <v>PROVA_FG_DISCURSIVA_DISCENTE_Q2_SITUACAO</v>
      </c>
      <c r="E35" t="s">
        <v>36</v>
      </c>
      <c r="F35" t="str">
        <f t="shared" si="14"/>
        <v>PROVA_FE_OBJETIVAS_DISCENTE_FEZ_PROVA</v>
      </c>
      <c r="G35" t="s">
        <v>33</v>
      </c>
      <c r="H35" t="str">
        <f t="shared" si="16"/>
        <v>PROVA_FG_OBJETIVAS_RESPOSTAS_DISCENTE</v>
      </c>
      <c r="I35" t="s">
        <v>25</v>
      </c>
      <c r="J35" t="str">
        <f>H39</f>
        <v>PROVA_DISCENTE_PRESENTE_ENADE</v>
      </c>
      <c r="K35" t="s">
        <v>29</v>
      </c>
    </row>
    <row r="36" spans="1:11" x14ac:dyDescent="0.2">
      <c r="A36" s="5" t="s">
        <v>305</v>
      </c>
      <c r="B36" s="5" t="str">
        <f t="shared" si="12"/>
        <v>PROVA_FE_DISCURSIVA_DISCENTE_Q1_SITUACAO</v>
      </c>
      <c r="C36" t="s">
        <v>37</v>
      </c>
      <c r="D36" t="str">
        <f>A39</f>
        <v>PROVA_FE_DISCURSIVA_DISCENTE_Q1_SITUACAO</v>
      </c>
      <c r="E36" t="s">
        <v>37</v>
      </c>
      <c r="F36" t="str">
        <f t="shared" si="14"/>
        <v>PROVA_FE_DISCURSIVA_DISCENTE_FEZ_PROVA</v>
      </c>
      <c r="G36" t="s">
        <v>34</v>
      </c>
      <c r="H36" t="str">
        <f t="shared" si="16"/>
        <v>PROVA_FG_OBJETIVAS_ACERTOS_DISCENTE</v>
      </c>
      <c r="I36" t="s">
        <v>26</v>
      </c>
      <c r="J36" t="str">
        <f t="shared" ref="J36:J53" si="17">H40</f>
        <v>PROVA_DISCENTE_FEZ_PROVA</v>
      </c>
      <c r="K36" t="s">
        <v>30</v>
      </c>
    </row>
    <row r="37" spans="1:11" x14ac:dyDescent="0.2">
      <c r="A37" s="5" t="s">
        <v>306</v>
      </c>
      <c r="B37" s="5" t="str">
        <f t="shared" si="12"/>
        <v>PROVA_FE_DISCURSIVA_DISCENTE_Q2_SITUACAO</v>
      </c>
      <c r="C37" t="s">
        <v>38</v>
      </c>
      <c r="D37" t="str">
        <f t="shared" ref="D37:D38" si="18">A40</f>
        <v>PROVA_FE_DISCURSIVA_DISCENTE_Q2_SITUACAO</v>
      </c>
      <c r="E37" t="s">
        <v>38</v>
      </c>
      <c r="F37" t="str">
        <f t="shared" si="14"/>
        <v>PROVA_FG_DISCURSIVA_DISCENTE_Q1_SITUACAO</v>
      </c>
      <c r="G37" t="s">
        <v>35</v>
      </c>
      <c r="H37" t="str">
        <f t="shared" si="16"/>
        <v>PROVA_FE_OBJETIVAS_RESPOSTAS_DISCENTE</v>
      </c>
      <c r="I37" t="s">
        <v>27</v>
      </c>
      <c r="J37" t="str">
        <f t="shared" si="17"/>
        <v>PROVA_FG_OBJETIVAS_DISCENTE_FEZ_PROVA</v>
      </c>
      <c r="K37" t="s">
        <v>31</v>
      </c>
    </row>
    <row r="38" spans="1:11" x14ac:dyDescent="0.2">
      <c r="A38" s="5" t="s">
        <v>307</v>
      </c>
      <c r="B38" s="5" t="str">
        <f t="shared" si="12"/>
        <v>PROVA_FE_DISCURSIVA_DISCENTE_Q3_SITUACAO</v>
      </c>
      <c r="C38" t="s">
        <v>39</v>
      </c>
      <c r="D38" t="str">
        <f t="shared" si="18"/>
        <v>PROVA_FE_DISCURSIVA_DISCENTE_Q3_SITUACAO</v>
      </c>
      <c r="E38" t="s">
        <v>39</v>
      </c>
      <c r="F38" t="str">
        <f t="shared" si="14"/>
        <v>PROVA_FG_DISCURSIVA_DISCENTE_Q2_SITUACAO</v>
      </c>
      <c r="G38" t="s">
        <v>36</v>
      </c>
      <c r="H38" t="str">
        <f t="shared" si="16"/>
        <v>PROVA_FE_OBJETIVAS_ACERTOS_DISCENTE</v>
      </c>
      <c r="I38" t="s">
        <v>28</v>
      </c>
      <c r="J38" t="str">
        <f t="shared" si="17"/>
        <v>PROVA_FG_DISCURSIVAS_DISCENTE_FEZ_PROVA</v>
      </c>
      <c r="K38" t="s">
        <v>32</v>
      </c>
    </row>
    <row r="39" spans="1:11" x14ac:dyDescent="0.2">
      <c r="A39" s="5" t="s">
        <v>308</v>
      </c>
      <c r="B39" s="5" t="str">
        <f t="shared" si="12"/>
        <v>PROVA_FE_DISCURSIVA_DISCENTE_Q4_SITUACAO</v>
      </c>
      <c r="C39" t="s">
        <v>130</v>
      </c>
      <c r="D39" t="str">
        <f t="shared" ref="D39:D44" si="19">A57</f>
        <v>PROVA_FG_OBJETIVAS_NUM_QUESTOES</v>
      </c>
      <c r="E39" t="s">
        <v>145</v>
      </c>
      <c r="F39" t="str">
        <f>A39</f>
        <v>PROVA_FE_DISCURSIVA_DISCENTE_Q1_SITUACAO</v>
      </c>
      <c r="G39" t="s">
        <v>37</v>
      </c>
      <c r="H39" t="str">
        <f t="shared" si="16"/>
        <v>PROVA_DISCENTE_PRESENTE_ENADE</v>
      </c>
      <c r="I39" t="s">
        <v>29</v>
      </c>
      <c r="J39" t="str">
        <f t="shared" si="17"/>
        <v>PROVA_FE_OBJETIVAS_DISCENTE_FEZ_PROVA</v>
      </c>
      <c r="K39" t="s">
        <v>33</v>
      </c>
    </row>
    <row r="40" spans="1:11" x14ac:dyDescent="0.2">
      <c r="A40" s="5" t="s">
        <v>309</v>
      </c>
      <c r="B40" s="5" t="str">
        <f t="shared" si="12"/>
        <v>PROVA_FE_DISCURSIVA_DISCENTE_Q5_SITUACAO</v>
      </c>
      <c r="C40" t="s">
        <v>131</v>
      </c>
      <c r="D40" t="str">
        <f t="shared" si="19"/>
        <v>PROVA_FG_DISCURSIVAS_NUM_QUESTOES</v>
      </c>
      <c r="E40" t="s">
        <v>249</v>
      </c>
      <c r="F40" t="str">
        <f t="shared" ref="F40:F41" si="20">A40</f>
        <v>PROVA_FE_DISCURSIVA_DISCENTE_Q2_SITUACAO</v>
      </c>
      <c r="G40" t="s">
        <v>38</v>
      </c>
      <c r="H40" t="str">
        <f t="shared" ref="H40:H49" si="21">F32</f>
        <v>PROVA_DISCENTE_FEZ_PROVA</v>
      </c>
      <c r="I40" t="s">
        <v>30</v>
      </c>
      <c r="J40" t="str">
        <f t="shared" si="17"/>
        <v>PROVA_FE_DISCURSIVA_DISCENTE_FEZ_PROVA</v>
      </c>
      <c r="K40" t="s">
        <v>34</v>
      </c>
    </row>
    <row r="41" spans="1:11" x14ac:dyDescent="0.2">
      <c r="A41" s="5" t="s">
        <v>310</v>
      </c>
      <c r="B41" s="5" t="str">
        <f t="shared" si="12"/>
        <v>PROVA_FE_DISCURSIVA_DISCENTE_Q6_SITUACAO</v>
      </c>
      <c r="C41" t="s">
        <v>132</v>
      </c>
      <c r="D41" t="str">
        <f t="shared" si="19"/>
        <v>PROVA_FE_OBJETIVAS_NUM_QUESTOES</v>
      </c>
      <c r="E41" t="s">
        <v>146</v>
      </c>
      <c r="F41" t="str">
        <f t="shared" si="20"/>
        <v>PROVA_FE_DISCURSIVA_DISCENTE_Q3_SITUACAO</v>
      </c>
      <c r="G41" t="s">
        <v>39</v>
      </c>
      <c r="H41" t="str">
        <f t="shared" si="21"/>
        <v>PROVA_FG_OBJETIVAS_DISCENTE_FEZ_PROVA</v>
      </c>
      <c r="I41" t="s">
        <v>31</v>
      </c>
      <c r="J41" t="str">
        <f t="shared" si="17"/>
        <v>PROVA_FG_DISCURSIVA_DISCENTE_Q1_SITUACAO</v>
      </c>
      <c r="K41" t="s">
        <v>35</v>
      </c>
    </row>
    <row r="42" spans="1:11" x14ac:dyDescent="0.2">
      <c r="A42" s="5" t="s">
        <v>311</v>
      </c>
      <c r="B42" s="5" t="str">
        <f t="shared" si="12"/>
        <v>PROVA_FE_DISCURSIVA_DISCENTE_Q7_SITUACAO</v>
      </c>
      <c r="C42" t="s">
        <v>133</v>
      </c>
      <c r="D42" t="str">
        <f t="shared" si="19"/>
        <v>PROVA_FF_DISCURSIVAS_NUM_QUESTOES</v>
      </c>
      <c r="E42" t="s">
        <v>250</v>
      </c>
      <c r="F42" t="str">
        <f>A94</f>
        <v>PROVA_NOTABRUTA</v>
      </c>
      <c r="G42" t="s">
        <v>40</v>
      </c>
      <c r="H42" t="str">
        <f t="shared" si="21"/>
        <v>PROVA_FG_DISCURSIVAS_DISCENTE_FEZ_PROVA</v>
      </c>
      <c r="I42" t="s">
        <v>32</v>
      </c>
      <c r="J42" t="str">
        <f t="shared" si="17"/>
        <v>PROVA_FG_DISCURSIVA_DISCENTE_Q2_SITUACAO</v>
      </c>
      <c r="K42" t="s">
        <v>36</v>
      </c>
    </row>
    <row r="43" spans="1:11" x14ac:dyDescent="0.2">
      <c r="A43" s="5" t="s">
        <v>312</v>
      </c>
      <c r="B43" s="5" t="str">
        <f t="shared" si="12"/>
        <v>PROVA_FE_DISCURSIVA_DISCENTE_Q8_SITUACAO</v>
      </c>
      <c r="C43" t="s">
        <v>134</v>
      </c>
      <c r="D43" t="str">
        <f t="shared" si="19"/>
        <v>PROVA_FG_OBJETIVAS_GABARITO</v>
      </c>
      <c r="E43" t="s">
        <v>147</v>
      </c>
      <c r="F43" t="str">
        <f>A72</f>
        <v>PROVA_FG_NOTABRUTA</v>
      </c>
      <c r="G43" t="s">
        <v>41</v>
      </c>
      <c r="H43" t="str">
        <f t="shared" si="21"/>
        <v>PROVA_FE_OBJETIVAS_DISCENTE_FEZ_PROVA</v>
      </c>
      <c r="I43" t="s">
        <v>33</v>
      </c>
      <c r="J43" t="str">
        <f>H47</f>
        <v>PROVA_FE_DISCURSIVA_DISCENTE_Q1_SITUACAO</v>
      </c>
      <c r="K43" t="s">
        <v>37</v>
      </c>
    </row>
    <row r="44" spans="1:11" x14ac:dyDescent="0.2">
      <c r="A44" s="6" t="s">
        <v>341</v>
      </c>
      <c r="B44" s="5" t="str">
        <f t="shared" si="12"/>
        <v>PROVA_FE_DISCURSIVA_DISCENTE_Q9_SITUACAO</v>
      </c>
      <c r="C44" t="s">
        <v>135</v>
      </c>
      <c r="D44" t="str">
        <f t="shared" si="19"/>
        <v>PROVA_FE_OBJETIVAS_GABARITO</v>
      </c>
      <c r="E44" t="s">
        <v>148</v>
      </c>
      <c r="F44" t="str">
        <f>A67</f>
        <v>PROVA_FG_OBJETIVAS_NOTABRUTA</v>
      </c>
      <c r="G44" t="s">
        <v>42</v>
      </c>
      <c r="H44" t="str">
        <f t="shared" si="21"/>
        <v>PROVA_FE_DISCURSIVA_DISCENTE_FEZ_PROVA</v>
      </c>
      <c r="I44" t="s">
        <v>34</v>
      </c>
      <c r="J44" t="str">
        <f t="shared" si="17"/>
        <v>PROVA_FE_DISCURSIVA_DISCENTE_Q2_SITUACAO</v>
      </c>
      <c r="K44" t="s">
        <v>38</v>
      </c>
    </row>
    <row r="45" spans="1:11" x14ac:dyDescent="0.2">
      <c r="A45" s="6" t="s">
        <v>342</v>
      </c>
      <c r="B45" s="5" t="str">
        <f t="shared" si="12"/>
        <v>PROVA_FE_DISCURSIVA_DISCENTE_Q10_SITUACAO</v>
      </c>
      <c r="C45" t="s">
        <v>136</v>
      </c>
      <c r="D45" t="str">
        <f t="shared" ref="D45:D51" si="22">A63</f>
        <v>PROVA_FG_OBJETIVAS_RESPOSTAS_DISCENTE</v>
      </c>
      <c r="E45" t="s">
        <v>149</v>
      </c>
      <c r="F45" t="str">
        <f>A71</f>
        <v>PROVA_FG_DISCURSIVAS_NOTABRUTA</v>
      </c>
      <c r="G45" t="s">
        <v>43</v>
      </c>
      <c r="H45" t="str">
        <f t="shared" si="21"/>
        <v>PROVA_FG_DISCURSIVA_DISCENTE_Q1_SITUACAO</v>
      </c>
      <c r="I45" t="s">
        <v>35</v>
      </c>
      <c r="J45" t="str">
        <f t="shared" si="17"/>
        <v>PROVA_FE_DISCURSIVA_DISCENTE_Q3_SITUACAO</v>
      </c>
      <c r="K45" t="s">
        <v>39</v>
      </c>
    </row>
    <row r="46" spans="1:11" x14ac:dyDescent="0.2">
      <c r="A46" s="6" t="s">
        <v>343</v>
      </c>
      <c r="B46" s="5" t="str">
        <f t="shared" si="12"/>
        <v>PROVA_FE_DISCURSIVA_DISCENTE_Q11_SITUACAO</v>
      </c>
      <c r="C46" t="s">
        <v>137</v>
      </c>
      <c r="D46" t="str">
        <f t="shared" si="22"/>
        <v>PROVA_FG_OBJETIVAS_ACERTOS_DISCENTE</v>
      </c>
      <c r="E46" t="s">
        <v>150</v>
      </c>
      <c r="F46" t="str">
        <f>A68</f>
        <v>PROVA_FG_DISCURSIVAS_Q1_NOTA</v>
      </c>
      <c r="G46" t="s">
        <v>44</v>
      </c>
      <c r="H46" t="str">
        <f t="shared" si="21"/>
        <v>PROVA_FG_DISCURSIVA_DISCENTE_Q2_SITUACAO</v>
      </c>
      <c r="I46" t="s">
        <v>36</v>
      </c>
      <c r="J46" t="str">
        <f>H50</f>
        <v>PROVA_NOTABRUTA</v>
      </c>
      <c r="K46" t="s">
        <v>40</v>
      </c>
    </row>
    <row r="47" spans="1:11" x14ac:dyDescent="0.2">
      <c r="A47" s="6" t="s">
        <v>344</v>
      </c>
      <c r="B47" s="5" t="str">
        <f t="shared" si="12"/>
        <v>PROVA_FE_DISCURSIVA_DISCENTE_Q12_SITUACAO</v>
      </c>
      <c r="C47" t="s">
        <v>138</v>
      </c>
      <c r="D47" t="str">
        <f t="shared" si="22"/>
        <v>PROVA_FE_OBJETIVAS_RESPOSTAS_DISCENTE</v>
      </c>
      <c r="E47" t="s">
        <v>151</v>
      </c>
      <c r="F47" t="str">
        <f>A69</f>
        <v>PROVA_FG_DISCURSIVAS_Q2_NOTA</v>
      </c>
      <c r="G47" t="s">
        <v>45</v>
      </c>
      <c r="H47" t="str">
        <f t="shared" si="21"/>
        <v>PROVA_FE_DISCURSIVA_DISCENTE_Q1_SITUACAO</v>
      </c>
      <c r="I47" t="s">
        <v>37</v>
      </c>
      <c r="J47" t="str">
        <f t="shared" si="17"/>
        <v>PROVA_FG_NOTABRUTA</v>
      </c>
      <c r="K47" t="s">
        <v>41</v>
      </c>
    </row>
    <row r="48" spans="1:11" x14ac:dyDescent="0.2">
      <c r="A48" s="6" t="s">
        <v>345</v>
      </c>
      <c r="B48" s="5" t="str">
        <f t="shared" si="12"/>
        <v>PROVA_FE_DISCURSIVA_DISCENTE_Q13_SITUACAO</v>
      </c>
      <c r="C48" t="s">
        <v>139</v>
      </c>
      <c r="D48" t="str">
        <f t="shared" si="22"/>
        <v>PROVA_FE_OBJETIVAS_ACERTOS_DISCENTE</v>
      </c>
      <c r="E48" t="s">
        <v>152</v>
      </c>
      <c r="F48" t="str">
        <f>A93</f>
        <v>PROVA_FE_NOTABRUTA</v>
      </c>
      <c r="G48" t="s">
        <v>46</v>
      </c>
      <c r="H48" t="str">
        <f t="shared" si="21"/>
        <v>PROVA_FE_DISCURSIVA_DISCENTE_Q2_SITUACAO</v>
      </c>
      <c r="I48" t="s">
        <v>38</v>
      </c>
      <c r="J48" t="str">
        <f t="shared" si="17"/>
        <v>PROVA_FG_OBJETIVAS_NOTABRUTA</v>
      </c>
      <c r="K48" t="s">
        <v>42</v>
      </c>
    </row>
    <row r="49" spans="1:11" x14ac:dyDescent="0.2">
      <c r="A49" s="6" t="s">
        <v>346</v>
      </c>
      <c r="B49" s="5" t="str">
        <f t="shared" si="12"/>
        <v>PROVA_FE_DISCURSIVA_DISCENTE_Q14_SITUACAO</v>
      </c>
      <c r="C49" t="s">
        <v>140</v>
      </c>
      <c r="D49" t="str">
        <f t="shared" si="22"/>
        <v>PROVA_FG_OBJETIVAS_NOTABRUTA</v>
      </c>
      <c r="E49" t="s">
        <v>42</v>
      </c>
      <c r="F49" t="str">
        <f>A73</f>
        <v>PROVA_FE_OBJETIVAS_NOTABRUTA</v>
      </c>
      <c r="G49" t="s">
        <v>47</v>
      </c>
      <c r="H49" t="str">
        <f t="shared" si="21"/>
        <v>PROVA_FE_DISCURSIVA_DISCENTE_Q3_SITUACAO</v>
      </c>
      <c r="I49" t="s">
        <v>39</v>
      </c>
      <c r="J49" t="str">
        <f t="shared" si="17"/>
        <v>PROVA_FG_DISCURSIVAS_NOTABRUTA</v>
      </c>
      <c r="K49" t="s">
        <v>43</v>
      </c>
    </row>
    <row r="50" spans="1:11" x14ac:dyDescent="0.2">
      <c r="A50" s="6" t="s">
        <v>347</v>
      </c>
      <c r="B50" s="5" t="str">
        <f t="shared" si="12"/>
        <v>PROVA_FE_DISCURSIVA_DISCENTE_Q15_SITUACAO</v>
      </c>
      <c r="C50" t="s">
        <v>141</v>
      </c>
      <c r="D50" t="str">
        <f t="shared" si="22"/>
        <v>PROVA_FG_DISCURSIVAS_Q1_NOTA</v>
      </c>
      <c r="E50" t="s">
        <v>44</v>
      </c>
      <c r="F50" t="str">
        <f>A92</f>
        <v>PROVA_FE_DISCURSIVAS_NOTABRUTA</v>
      </c>
      <c r="G50" t="s">
        <v>48</v>
      </c>
      <c r="H50" t="str">
        <f>F42</f>
        <v>PROVA_NOTABRUTA</v>
      </c>
      <c r="I50" t="s">
        <v>40</v>
      </c>
      <c r="J50" t="str">
        <f t="shared" si="17"/>
        <v>PROVA_FG_DISCURSIVAS_Q1_NOTA</v>
      </c>
      <c r="K50" t="s">
        <v>44</v>
      </c>
    </row>
    <row r="51" spans="1:11" x14ac:dyDescent="0.2">
      <c r="A51" s="6" t="s">
        <v>348</v>
      </c>
      <c r="B51" s="5" t="str">
        <f t="shared" si="12"/>
        <v>PROVA_FE_DISCURSIVA_DISCENTE_Q16_SITUACAO</v>
      </c>
      <c r="C51" t="s">
        <v>142</v>
      </c>
      <c r="D51" t="str">
        <f t="shared" si="22"/>
        <v>PROVA_FG_DISCURSIVAS_Q2_NOTA</v>
      </c>
      <c r="E51" t="s">
        <v>45</v>
      </c>
      <c r="F51" t="str">
        <f>A74</f>
        <v>PROVA_FE_DISCURSIVAS_Q1_NOTA</v>
      </c>
      <c r="G51" t="s">
        <v>49</v>
      </c>
      <c r="H51" t="str">
        <f t="shared" ref="H51:H54" si="23">F43</f>
        <v>PROVA_FG_NOTABRUTA</v>
      </c>
      <c r="I51" t="s">
        <v>41</v>
      </c>
      <c r="J51" s="4" t="s">
        <v>264</v>
      </c>
      <c r="K51" s="4" t="s">
        <v>264</v>
      </c>
    </row>
    <row r="52" spans="1:11" x14ac:dyDescent="0.2">
      <c r="A52" s="6" t="s">
        <v>349</v>
      </c>
      <c r="B52" s="5" t="str">
        <f t="shared" si="12"/>
        <v>PROVA_FE_DISCURSIVA_DISCENTE_Q17_SITUACAO</v>
      </c>
      <c r="C52" t="s">
        <v>143</v>
      </c>
      <c r="D52" t="str">
        <f>A71</f>
        <v>PROVA_FG_DISCURSIVAS_NOTABRUTA</v>
      </c>
      <c r="E52" t="s">
        <v>43</v>
      </c>
      <c r="F52" t="str">
        <f t="shared" ref="F52:F53" si="24">A75</f>
        <v>PROVA_FE_DISCURSIVAS_Q2_NOTA</v>
      </c>
      <c r="G52" t="s">
        <v>50</v>
      </c>
      <c r="H52" t="str">
        <f t="shared" si="23"/>
        <v>PROVA_FG_OBJETIVAS_NOTABRUTA</v>
      </c>
      <c r="I52" t="s">
        <v>42</v>
      </c>
      <c r="J52" s="4" t="s">
        <v>265</v>
      </c>
      <c r="K52" s="4" t="s">
        <v>265</v>
      </c>
    </row>
    <row r="53" spans="1:11" x14ac:dyDescent="0.2">
      <c r="A53" s="6" t="s">
        <v>350</v>
      </c>
      <c r="B53" s="5" t="str">
        <f t="shared" si="12"/>
        <v>PROVA_FE_DISCURSIVA_DISCENTE_Q18_SITUACAO</v>
      </c>
      <c r="C53" t="s">
        <v>144</v>
      </c>
      <c r="D53" t="str">
        <f t="shared" ref="D53:D69" si="25">A72</f>
        <v>PROVA_FG_NOTABRUTA</v>
      </c>
      <c r="E53" t="s">
        <v>41</v>
      </c>
      <c r="F53" t="str">
        <f t="shared" si="24"/>
        <v>PROVA_FE_DISCURSIVAS_Q3_NOTA</v>
      </c>
      <c r="G53" t="s">
        <v>51</v>
      </c>
      <c r="H53" t="str">
        <f t="shared" si="23"/>
        <v>PROVA_FG_DISCURSIVAS_NOTABRUTA</v>
      </c>
      <c r="I53" t="s">
        <v>43</v>
      </c>
      <c r="J53" t="str">
        <f t="shared" si="17"/>
        <v>PROVA_FG_DISCURSIVAS_Q2_NOTA</v>
      </c>
      <c r="K53" t="s">
        <v>45</v>
      </c>
    </row>
    <row r="54" spans="1:11" x14ac:dyDescent="0.2">
      <c r="A54" s="6" t="s">
        <v>351</v>
      </c>
      <c r="B54" s="5" t="str">
        <f>A57</f>
        <v>PROVA_FG_OBJETIVAS_NUM_QUESTOES</v>
      </c>
      <c r="C54" t="s">
        <v>145</v>
      </c>
      <c r="D54" t="str">
        <f t="shared" si="25"/>
        <v>PROVA_FE_OBJETIVAS_NOTABRUTA</v>
      </c>
      <c r="E54" t="s">
        <v>47</v>
      </c>
      <c r="F54" t="str">
        <f>A96</f>
        <v>QUESTIONARIO_PERCEPCAO_Q1</v>
      </c>
      <c r="G54" t="s">
        <v>52</v>
      </c>
      <c r="H54" t="str">
        <f t="shared" si="23"/>
        <v>PROVA_FG_DISCURSIVAS_Q1_NOTA</v>
      </c>
      <c r="I54" t="s">
        <v>44</v>
      </c>
      <c r="J54" s="4" t="s">
        <v>266</v>
      </c>
      <c r="K54" s="4" t="s">
        <v>266</v>
      </c>
    </row>
    <row r="55" spans="1:11" x14ac:dyDescent="0.2">
      <c r="A55" s="6" t="s">
        <v>352</v>
      </c>
      <c r="B55" s="5" t="str">
        <f>A59</f>
        <v>PROVA_FE_OBJETIVAS_NUM_QUESTOES</v>
      </c>
      <c r="C55" t="s">
        <v>146</v>
      </c>
      <c r="D55" t="str">
        <f t="shared" si="25"/>
        <v>PROVA_FE_DISCURSIVAS_Q1_NOTA</v>
      </c>
      <c r="E55" t="s">
        <v>49</v>
      </c>
      <c r="F55" t="str">
        <f t="shared" ref="F55:F62" si="26">A97</f>
        <v>QUESTIONARIO_PERCEPCAO_Q2</v>
      </c>
      <c r="G55" t="s">
        <v>53</v>
      </c>
      <c r="H55" s="4" t="s">
        <v>264</v>
      </c>
      <c r="I55" s="4" t="s">
        <v>264</v>
      </c>
      <c r="J55" s="4" t="s">
        <v>267</v>
      </c>
      <c r="K55" s="4" t="s">
        <v>267</v>
      </c>
    </row>
    <row r="56" spans="1:11" x14ac:dyDescent="0.2">
      <c r="A56" s="6" t="s">
        <v>353</v>
      </c>
      <c r="B56" s="5" t="str">
        <f>A61</f>
        <v>PROVA_FG_OBJETIVAS_GABARITO</v>
      </c>
      <c r="C56" t="s">
        <v>147</v>
      </c>
      <c r="D56" t="str">
        <f t="shared" si="25"/>
        <v>PROVA_FE_DISCURSIVAS_Q2_NOTA</v>
      </c>
      <c r="E56" t="s">
        <v>50</v>
      </c>
      <c r="F56" t="str">
        <f t="shared" si="26"/>
        <v>QUESTIONARIO_PERCEPCAO_Q3</v>
      </c>
      <c r="G56" t="s">
        <v>54</v>
      </c>
      <c r="H56" s="4" t="s">
        <v>265</v>
      </c>
      <c r="I56" s="4" t="s">
        <v>265</v>
      </c>
      <c r="J56" t="str">
        <f>H60</f>
        <v>PROVA_FE_NOTABRUTA</v>
      </c>
      <c r="K56" t="s">
        <v>46</v>
      </c>
    </row>
    <row r="57" spans="1:11" x14ac:dyDescent="0.2">
      <c r="A57" s="5" t="s">
        <v>313</v>
      </c>
      <c r="B57" s="5" t="str">
        <f>A62</f>
        <v>PROVA_FE_OBJETIVAS_GABARITO</v>
      </c>
      <c r="C57" t="s">
        <v>148</v>
      </c>
      <c r="D57" t="str">
        <f t="shared" si="25"/>
        <v>PROVA_FE_DISCURSIVAS_Q3_NOTA</v>
      </c>
      <c r="E57" t="s">
        <v>51</v>
      </c>
      <c r="F57" t="str">
        <f t="shared" si="26"/>
        <v>QUESTIONARIO_PERCEPCAO_Q4</v>
      </c>
      <c r="G57" t="s">
        <v>55</v>
      </c>
      <c r="H57" t="str">
        <f>F47</f>
        <v>PROVA_FG_DISCURSIVAS_Q2_NOTA</v>
      </c>
      <c r="I57" t="s">
        <v>45</v>
      </c>
      <c r="J57" t="str">
        <f t="shared" ref="J57:J70" si="27">H61</f>
        <v>PROVA_FE_OBJETIVAS_NOTABRUTA</v>
      </c>
      <c r="K57" t="s">
        <v>47</v>
      </c>
    </row>
    <row r="58" spans="1:11" x14ac:dyDescent="0.2">
      <c r="A58" s="5" t="s">
        <v>314</v>
      </c>
      <c r="B58" s="8" t="str">
        <f>A63</f>
        <v>PROVA_FG_OBJETIVAS_RESPOSTAS_DISCENTE</v>
      </c>
      <c r="C58" t="s">
        <v>149</v>
      </c>
      <c r="D58" t="str">
        <f t="shared" si="25"/>
        <v>PROVA_FE_DISCURSIVAS_Q4_NOTA</v>
      </c>
      <c r="E58" t="s">
        <v>154</v>
      </c>
      <c r="F58" t="str">
        <f t="shared" si="26"/>
        <v>QUESTIONARIO_PERCEPCAO_Q5</v>
      </c>
      <c r="G58" t="s">
        <v>56</v>
      </c>
      <c r="H58" s="4" t="s">
        <v>266</v>
      </c>
      <c r="I58" s="4" t="s">
        <v>266</v>
      </c>
      <c r="J58" t="str">
        <f t="shared" si="27"/>
        <v>PROVA_FE_DISCURSIVAS_NOTABRUTA</v>
      </c>
      <c r="K58" t="s">
        <v>48</v>
      </c>
    </row>
    <row r="59" spans="1:11" x14ac:dyDescent="0.2">
      <c r="A59" s="5" t="s">
        <v>315</v>
      </c>
      <c r="B59" s="8" t="str">
        <f t="shared" ref="B59:B72" si="28">A64</f>
        <v>PROVA_FG_OBJETIVAS_ACERTOS_DISCENTE</v>
      </c>
      <c r="C59" t="s">
        <v>150</v>
      </c>
      <c r="D59" t="str">
        <f t="shared" si="25"/>
        <v>PROVA_FE_DISCURSIVAS_Q5_NOTA</v>
      </c>
      <c r="E59" t="s">
        <v>155</v>
      </c>
      <c r="F59" t="str">
        <f t="shared" si="26"/>
        <v>QUESTIONARIO_PERCEPCAO_Q6</v>
      </c>
      <c r="G59" t="s">
        <v>57</v>
      </c>
      <c r="H59" s="4" t="s">
        <v>267</v>
      </c>
      <c r="I59" s="4" t="s">
        <v>267</v>
      </c>
      <c r="J59" t="str">
        <f t="shared" si="27"/>
        <v>PROVA_FE_DISCURSIVAS_Q1_NOTA</v>
      </c>
      <c r="K59" t="s">
        <v>49</v>
      </c>
    </row>
    <row r="60" spans="1:11" x14ac:dyDescent="0.2">
      <c r="A60" s="5" t="s">
        <v>316</v>
      </c>
      <c r="B60" s="8" t="str">
        <f t="shared" si="28"/>
        <v>PROVA_FE_OBJETIVAS_RESPOSTAS_DISCENTE</v>
      </c>
      <c r="C60" t="s">
        <v>151</v>
      </c>
      <c r="D60" t="str">
        <f t="shared" si="25"/>
        <v>PROVA_FE_DISCURSIVAS_Q6_NOTA</v>
      </c>
      <c r="E60" t="s">
        <v>156</v>
      </c>
      <c r="F60" t="str">
        <f t="shared" si="26"/>
        <v>QUESTIONARIO_PERCEPCAO_Q7</v>
      </c>
      <c r="G60" t="s">
        <v>58</v>
      </c>
      <c r="H60" t="str">
        <f>F48</f>
        <v>PROVA_FE_NOTABRUTA</v>
      </c>
      <c r="I60" t="s">
        <v>46</v>
      </c>
      <c r="J60" t="str">
        <f t="shared" si="27"/>
        <v>PROVA_FE_DISCURSIVAS_Q2_NOTA</v>
      </c>
      <c r="K60" t="s">
        <v>50</v>
      </c>
    </row>
    <row r="61" spans="1:11" x14ac:dyDescent="0.2">
      <c r="A61" s="5" t="s">
        <v>317</v>
      </c>
      <c r="B61" s="8" t="str">
        <f t="shared" si="28"/>
        <v>PROVA_FE_OBJETIVAS_ACERTOS_DISCENTE</v>
      </c>
      <c r="C61" t="s">
        <v>152</v>
      </c>
      <c r="D61" t="str">
        <f t="shared" si="25"/>
        <v>PROVA_FE_DISCURSIVAS_Q7_NOTA</v>
      </c>
      <c r="E61" t="s">
        <v>157</v>
      </c>
      <c r="F61" t="str">
        <f t="shared" si="26"/>
        <v>QUESTIONARIO_PERCEPCAO_Q8</v>
      </c>
      <c r="G61" t="s">
        <v>59</v>
      </c>
      <c r="H61" t="str">
        <f>F49</f>
        <v>PROVA_FE_OBJETIVAS_NOTABRUTA</v>
      </c>
      <c r="I61" t="s">
        <v>47</v>
      </c>
      <c r="J61" t="str">
        <f t="shared" si="27"/>
        <v>PROVA_FE_DISCURSIVAS_Q3_NOTA</v>
      </c>
      <c r="K61" t="s">
        <v>51</v>
      </c>
    </row>
    <row r="62" spans="1:11" x14ac:dyDescent="0.2">
      <c r="A62" s="5" t="s">
        <v>318</v>
      </c>
      <c r="B62" s="8" t="str">
        <f t="shared" si="28"/>
        <v>PROVA_FG_OBJETIVAS_NOTABRUTA</v>
      </c>
      <c r="C62" t="s">
        <v>42</v>
      </c>
      <c r="D62" t="str">
        <f t="shared" si="25"/>
        <v>PROVA_FE_DISCURSIVAS_Q8_NOTA</v>
      </c>
      <c r="E62" t="s">
        <v>158</v>
      </c>
      <c r="F62" t="str">
        <f t="shared" si="26"/>
        <v>QUESTIONARIO_PERCEPCAO_Q9</v>
      </c>
      <c r="G62" t="s">
        <v>60</v>
      </c>
      <c r="H62" t="str">
        <f>F50</f>
        <v>PROVA_FE_DISCURSIVAS_NOTABRUTA</v>
      </c>
      <c r="I62" t="s">
        <v>48</v>
      </c>
      <c r="J62" t="str">
        <f>H66</f>
        <v>QUESTIONARIO_PERCEPCAO_Q1</v>
      </c>
      <c r="K62" t="s">
        <v>52</v>
      </c>
    </row>
    <row r="63" spans="1:11" x14ac:dyDescent="0.2">
      <c r="A63" s="8" t="s">
        <v>319</v>
      </c>
      <c r="B63" s="8" t="str">
        <f t="shared" si="28"/>
        <v>PROVA_FG_DISCURSIVAS_Q1_NOTA</v>
      </c>
      <c r="C63" t="s">
        <v>44</v>
      </c>
      <c r="D63" t="str">
        <f t="shared" si="25"/>
        <v>PROVA_FE_DISCURSIVAS_Q9_NOTA</v>
      </c>
      <c r="E63" t="s">
        <v>159</v>
      </c>
      <c r="F63" t="str">
        <f>A228</f>
        <v>EST_CIVIL</v>
      </c>
      <c r="G63" t="s">
        <v>61</v>
      </c>
      <c r="H63" t="str">
        <f>F51</f>
        <v>PROVA_FE_DISCURSIVAS_Q1_NOTA</v>
      </c>
      <c r="I63" t="s">
        <v>49</v>
      </c>
      <c r="J63" t="str">
        <f t="shared" si="27"/>
        <v>QUESTIONARIO_PERCEPCAO_Q2</v>
      </c>
      <c r="K63" t="s">
        <v>53</v>
      </c>
    </row>
    <row r="64" spans="1:11" x14ac:dyDescent="0.2">
      <c r="A64" s="5" t="s">
        <v>320</v>
      </c>
      <c r="B64" s="8" t="str">
        <f t="shared" si="28"/>
        <v>PROVA_FG_DISCURSIVAS_Q2_NOTA</v>
      </c>
      <c r="C64" t="s">
        <v>45</v>
      </c>
      <c r="D64" t="str">
        <f t="shared" si="25"/>
        <v>PROVA_FE_DISCURSIVAS_Q10_NOTA</v>
      </c>
      <c r="E64" t="s">
        <v>160</v>
      </c>
      <c r="F64" t="str">
        <f t="shared" ref="F64:F116" si="29">A108</f>
        <v>QUESTIONARIO_SOCIO_Q2</v>
      </c>
      <c r="G64" t="s">
        <v>62</v>
      </c>
      <c r="H64" t="str">
        <f t="shared" ref="H64:H66" si="30">F52</f>
        <v>PROVA_FE_DISCURSIVAS_Q2_NOTA</v>
      </c>
      <c r="I64" t="s">
        <v>50</v>
      </c>
      <c r="J64" t="str">
        <f t="shared" si="27"/>
        <v>QUESTIONARIO_PERCEPCAO_Q3</v>
      </c>
      <c r="K64" t="s">
        <v>54</v>
      </c>
    </row>
    <row r="65" spans="1:11" x14ac:dyDescent="0.2">
      <c r="A65" s="5" t="s">
        <v>321</v>
      </c>
      <c r="B65" s="8" t="str">
        <f t="shared" si="28"/>
        <v>PROVA_FG_DISCURSIVAS_Q3_NOTA</v>
      </c>
      <c r="C65" t="s">
        <v>153</v>
      </c>
      <c r="D65" t="str">
        <f t="shared" si="25"/>
        <v>PROVA_FE_DISCURSIVAS_Q11_NOTA</v>
      </c>
      <c r="E65" t="s">
        <v>161</v>
      </c>
      <c r="F65" t="str">
        <f t="shared" si="29"/>
        <v>QUESTIONARIO_SOCIO_Q3</v>
      </c>
      <c r="G65" t="s">
        <v>63</v>
      </c>
      <c r="H65" t="str">
        <f t="shared" si="30"/>
        <v>PROVA_FE_DISCURSIVAS_Q3_NOTA</v>
      </c>
      <c r="I65" t="s">
        <v>51</v>
      </c>
      <c r="J65" t="str">
        <f t="shared" si="27"/>
        <v>QUESTIONARIO_PERCEPCAO_Q4</v>
      </c>
      <c r="K65" t="s">
        <v>55</v>
      </c>
    </row>
    <row r="66" spans="1:11" x14ac:dyDescent="0.2">
      <c r="A66" s="5" t="s">
        <v>322</v>
      </c>
      <c r="B66" s="8" t="str">
        <f t="shared" si="28"/>
        <v>PROVA_FG_DISCURSIVAS_NOTABRUTA</v>
      </c>
      <c r="C66" t="s">
        <v>43</v>
      </c>
      <c r="D66" t="str">
        <f t="shared" si="25"/>
        <v>PROVA_FE_DISCURSIVAS_Q12_NOTA</v>
      </c>
      <c r="E66" t="s">
        <v>162</v>
      </c>
      <c r="F66" t="str">
        <f t="shared" si="29"/>
        <v>QUESTIONARIO_SOCIO_Q4</v>
      </c>
      <c r="G66" t="s">
        <v>64</v>
      </c>
      <c r="H66" t="str">
        <f t="shared" si="30"/>
        <v>QUESTIONARIO_PERCEPCAO_Q1</v>
      </c>
      <c r="I66" t="s">
        <v>52</v>
      </c>
      <c r="J66" t="str">
        <f t="shared" si="27"/>
        <v>QUESTIONARIO_PERCEPCAO_Q5</v>
      </c>
      <c r="K66" t="s">
        <v>56</v>
      </c>
    </row>
    <row r="67" spans="1:11" x14ac:dyDescent="0.2">
      <c r="A67" s="5" t="s">
        <v>323</v>
      </c>
      <c r="B67" s="8" t="str">
        <f t="shared" si="28"/>
        <v>PROVA_FG_NOTABRUTA</v>
      </c>
      <c r="C67" t="s">
        <v>41</v>
      </c>
      <c r="D67" t="str">
        <f t="shared" si="25"/>
        <v>PROVA_FE_DISCURSIVAS_Q13_NOTA</v>
      </c>
      <c r="E67" t="s">
        <v>163</v>
      </c>
      <c r="F67" t="str">
        <f>A222</f>
        <v>RENDA</v>
      </c>
      <c r="G67" t="s">
        <v>65</v>
      </c>
      <c r="H67" t="str">
        <f t="shared" ref="H67:H74" si="31">F55</f>
        <v>QUESTIONARIO_PERCEPCAO_Q2</v>
      </c>
      <c r="I67" t="s">
        <v>53</v>
      </c>
      <c r="J67" t="str">
        <f t="shared" si="27"/>
        <v>QUESTIONARIO_PERCEPCAO_Q6</v>
      </c>
      <c r="K67" t="s">
        <v>57</v>
      </c>
    </row>
    <row r="68" spans="1:11" x14ac:dyDescent="0.2">
      <c r="A68" s="5" t="s">
        <v>324</v>
      </c>
      <c r="B68" s="8" t="str">
        <f t="shared" si="28"/>
        <v>PROVA_FE_OBJETIVAS_NOTABRUTA</v>
      </c>
      <c r="C68" t="s">
        <v>47</v>
      </c>
      <c r="D68" t="str">
        <f t="shared" si="25"/>
        <v>PROVA_FE_DISCURSIVAS_Q14_NOTA</v>
      </c>
      <c r="E68" t="s">
        <v>164</v>
      </c>
      <c r="F68" t="str">
        <f>A223</f>
        <v>SITUACAO_TRABALHO</v>
      </c>
      <c r="G68" t="s">
        <v>66</v>
      </c>
      <c r="H68" t="str">
        <f t="shared" si="31"/>
        <v>QUESTIONARIO_PERCEPCAO_Q3</v>
      </c>
      <c r="I68" t="s">
        <v>54</v>
      </c>
      <c r="J68" t="str">
        <f t="shared" si="27"/>
        <v>QUESTIONARIO_PERCEPCAO_Q7</v>
      </c>
      <c r="K68" t="s">
        <v>58</v>
      </c>
    </row>
    <row r="69" spans="1:11" x14ac:dyDescent="0.2">
      <c r="A69" s="5" t="s">
        <v>325</v>
      </c>
      <c r="B69" s="8" t="str">
        <f t="shared" si="28"/>
        <v>PROVA_FE_DISCURSIVAS_Q1_NOTA</v>
      </c>
      <c r="C69" t="s">
        <v>49</v>
      </c>
      <c r="D69" t="str">
        <f t="shared" si="25"/>
        <v>PROVA_FE_DISCURSIVAS_Q15_NOTA</v>
      </c>
      <c r="E69" t="s">
        <v>165</v>
      </c>
      <c r="F69" t="str">
        <f>A224</f>
        <v>CH_TRABALHO</v>
      </c>
      <c r="G69" t="s">
        <v>67</v>
      </c>
      <c r="H69" t="str">
        <f t="shared" si="31"/>
        <v>QUESTIONARIO_PERCEPCAO_Q4</v>
      </c>
      <c r="I69" t="s">
        <v>55</v>
      </c>
      <c r="J69" t="str">
        <f t="shared" si="27"/>
        <v>QUESTIONARIO_PERCEPCAO_Q8</v>
      </c>
      <c r="K69" t="s">
        <v>59</v>
      </c>
    </row>
    <row r="70" spans="1:11" x14ac:dyDescent="0.2">
      <c r="A70" s="5" t="s">
        <v>326</v>
      </c>
      <c r="B70" s="8" t="str">
        <f t="shared" si="28"/>
        <v>PROVA_FE_DISCURSIVAS_Q2_NOTA</v>
      </c>
      <c r="C70" t="s">
        <v>50</v>
      </c>
      <c r="D70" t="str">
        <f>A92</f>
        <v>PROVA_FE_DISCURSIVAS_NOTABRUTA</v>
      </c>
      <c r="E70" t="s">
        <v>48</v>
      </c>
      <c r="F70" t="str">
        <f t="shared" si="29"/>
        <v>QUESTIONARIO_SOCIO_Q8</v>
      </c>
      <c r="G70" t="s">
        <v>68</v>
      </c>
      <c r="H70" t="str">
        <f t="shared" si="31"/>
        <v>QUESTIONARIO_PERCEPCAO_Q5</v>
      </c>
      <c r="I70" t="s">
        <v>56</v>
      </c>
      <c r="J70" t="str">
        <f t="shared" si="27"/>
        <v>QUESTIONARIO_PERCEPCAO_Q9</v>
      </c>
      <c r="K70" t="s">
        <v>60</v>
      </c>
    </row>
    <row r="71" spans="1:11" x14ac:dyDescent="0.2">
      <c r="A71" s="5" t="s">
        <v>327</v>
      </c>
      <c r="B71" s="8" t="str">
        <f t="shared" si="28"/>
        <v>PROVA_FE_DISCURSIVAS_Q3_NOTA</v>
      </c>
      <c r="C71" t="s">
        <v>51</v>
      </c>
      <c r="D71" t="str">
        <f t="shared" ref="D71:D73" si="32">A93</f>
        <v>PROVA_FE_NOTABRUTA</v>
      </c>
      <c r="E71" t="s">
        <v>46</v>
      </c>
      <c r="F71" t="str">
        <f t="shared" si="29"/>
        <v>QUESTIONARIO_SOCIO_Q9</v>
      </c>
      <c r="G71" t="s">
        <v>69</v>
      </c>
      <c r="H71" t="str">
        <f t="shared" si="31"/>
        <v>QUESTIONARIO_PERCEPCAO_Q6</v>
      </c>
      <c r="I71" t="s">
        <v>57</v>
      </c>
      <c r="J71" t="str">
        <f>A228</f>
        <v>EST_CIVIL</v>
      </c>
      <c r="K71" t="s">
        <v>61</v>
      </c>
    </row>
    <row r="72" spans="1:11" x14ac:dyDescent="0.2">
      <c r="A72" s="7" t="s">
        <v>328</v>
      </c>
      <c r="B72" s="8" t="str">
        <f t="shared" si="28"/>
        <v>PROVA_FE_DISCURSIVAS_Q4_NOTA</v>
      </c>
      <c r="C72" t="s">
        <v>154</v>
      </c>
      <c r="D72" t="str">
        <f t="shared" si="32"/>
        <v>PROVA_NOTABRUTA</v>
      </c>
      <c r="E72" t="s">
        <v>40</v>
      </c>
      <c r="F72" t="str">
        <f t="shared" si="29"/>
        <v>QUESTIONARIO_SOCIO_Q10</v>
      </c>
      <c r="G72" t="s">
        <v>70</v>
      </c>
      <c r="H72" t="str">
        <f t="shared" si="31"/>
        <v>QUESTIONARIO_PERCEPCAO_Q7</v>
      </c>
      <c r="I72" t="s">
        <v>58</v>
      </c>
      <c r="J72" t="str">
        <f t="shared" ref="J72:J135" si="33">A108</f>
        <v>QUESTIONARIO_SOCIO_Q2</v>
      </c>
      <c r="K72" t="s">
        <v>62</v>
      </c>
    </row>
    <row r="73" spans="1:11" x14ac:dyDescent="0.2">
      <c r="A73" s="5" t="s">
        <v>329</v>
      </c>
      <c r="B73" s="8" t="str">
        <f>A78</f>
        <v>PROVA_FE_DISCURSIVAS_Q5_NOTA</v>
      </c>
      <c r="C73" t="s">
        <v>155</v>
      </c>
      <c r="D73" t="str">
        <f t="shared" si="32"/>
        <v>QUESTIONARIO_PERCEPCAO_NUM_QUESTOES</v>
      </c>
      <c r="E73" t="s">
        <v>169</v>
      </c>
      <c r="F73" t="str">
        <f t="shared" si="29"/>
        <v>QUESTIONARIO_SOCIO_Q11</v>
      </c>
      <c r="G73" t="s">
        <v>71</v>
      </c>
      <c r="H73" t="str">
        <f t="shared" si="31"/>
        <v>QUESTIONARIO_PERCEPCAO_Q8</v>
      </c>
      <c r="I73" t="s">
        <v>59</v>
      </c>
      <c r="J73" t="str">
        <f t="shared" si="33"/>
        <v>QUESTIONARIO_SOCIO_Q3</v>
      </c>
      <c r="K73" t="s">
        <v>63</v>
      </c>
    </row>
    <row r="74" spans="1:11" x14ac:dyDescent="0.2">
      <c r="A74" s="5" t="s">
        <v>330</v>
      </c>
      <c r="B74" s="8" t="str">
        <f t="shared" ref="B74:B137" si="34">A79</f>
        <v>PROVA_FE_DISCURSIVAS_Q6_NOTA</v>
      </c>
      <c r="C74" t="s">
        <v>156</v>
      </c>
      <c r="D74" t="str">
        <f>A96</f>
        <v>QUESTIONARIO_PERCEPCAO_Q1</v>
      </c>
      <c r="E74" t="s">
        <v>170</v>
      </c>
      <c r="F74" t="str">
        <f t="shared" si="29"/>
        <v>QUESTIONARIO_SOCIO_Q12</v>
      </c>
      <c r="G74" t="s">
        <v>72</v>
      </c>
      <c r="H74" t="str">
        <f t="shared" si="31"/>
        <v>QUESTIONARIO_PERCEPCAO_Q9</v>
      </c>
      <c r="I74" t="s">
        <v>60</v>
      </c>
      <c r="J74" t="str">
        <f t="shared" si="33"/>
        <v>QUESTIONARIO_SOCIO_Q4</v>
      </c>
      <c r="K74" t="s">
        <v>64</v>
      </c>
    </row>
    <row r="75" spans="1:11" x14ac:dyDescent="0.2">
      <c r="A75" s="5" t="s">
        <v>331</v>
      </c>
      <c r="B75" s="8" t="str">
        <f t="shared" si="34"/>
        <v>PROVA_FE_DISCURSIVAS_Q7_NOTA</v>
      </c>
      <c r="C75" t="s">
        <v>157</v>
      </c>
      <c r="D75" t="str">
        <f t="shared" ref="D75:D82" si="35">A97</f>
        <v>QUESTIONARIO_PERCEPCAO_Q2</v>
      </c>
      <c r="E75" t="s">
        <v>171</v>
      </c>
      <c r="F75" t="str">
        <f t="shared" si="29"/>
        <v>QUESTIONARIO_SOCIO_Q13</v>
      </c>
      <c r="G75" t="s">
        <v>73</v>
      </c>
      <c r="H75" t="str">
        <f>A228</f>
        <v>EST_CIVIL</v>
      </c>
      <c r="I75" t="s">
        <v>61</v>
      </c>
      <c r="J75" t="str">
        <f t="shared" si="33"/>
        <v>QUESTIONARIO_SOCIO_Q5</v>
      </c>
      <c r="K75" t="s">
        <v>65</v>
      </c>
    </row>
    <row r="76" spans="1:11" x14ac:dyDescent="0.2">
      <c r="A76" s="5" t="s">
        <v>332</v>
      </c>
      <c r="B76" s="8" t="str">
        <f t="shared" si="34"/>
        <v>PROVA_FE_DISCURSIVAS_Q8_NOTA</v>
      </c>
      <c r="C76" t="s">
        <v>158</v>
      </c>
      <c r="D76" t="str">
        <f t="shared" si="35"/>
        <v>QUESTIONARIO_PERCEPCAO_Q3</v>
      </c>
      <c r="E76" t="s">
        <v>172</v>
      </c>
      <c r="F76" t="str">
        <f t="shared" si="29"/>
        <v>QUESTIONARIO_SOCIO_Q14</v>
      </c>
      <c r="G76" t="s">
        <v>74</v>
      </c>
      <c r="H76" t="str">
        <f t="shared" ref="H76:H139" si="36">A108</f>
        <v>QUESTIONARIO_SOCIO_Q2</v>
      </c>
      <c r="I76" t="s">
        <v>62</v>
      </c>
      <c r="J76" t="str">
        <f t="shared" si="33"/>
        <v>QUESTIONARIO_SOCIO_Q6</v>
      </c>
      <c r="K76" t="s">
        <v>66</v>
      </c>
    </row>
    <row r="77" spans="1:11" x14ac:dyDescent="0.2">
      <c r="A77" s="5" t="s">
        <v>333</v>
      </c>
      <c r="B77" s="8" t="str">
        <f t="shared" si="34"/>
        <v>PROVA_FE_DISCURSIVAS_Q9_NOTA</v>
      </c>
      <c r="C77" t="s">
        <v>159</v>
      </c>
      <c r="D77" t="str">
        <f t="shared" si="35"/>
        <v>QUESTIONARIO_PERCEPCAO_Q4</v>
      </c>
      <c r="E77" t="s">
        <v>173</v>
      </c>
      <c r="F77" t="str">
        <f t="shared" si="29"/>
        <v>QUESTIONARIO_SOCIO_Q15</v>
      </c>
      <c r="G77" t="s">
        <v>75</v>
      </c>
      <c r="H77" t="str">
        <f t="shared" si="36"/>
        <v>QUESTIONARIO_SOCIO_Q3</v>
      </c>
      <c r="I77" t="s">
        <v>63</v>
      </c>
      <c r="J77" t="str">
        <f t="shared" si="33"/>
        <v>QUESTIONARIO_SOCIO_Q7</v>
      </c>
      <c r="K77" t="s">
        <v>67</v>
      </c>
    </row>
    <row r="78" spans="1:11" x14ac:dyDescent="0.2">
      <c r="A78" s="5" t="s">
        <v>334</v>
      </c>
      <c r="B78" s="8" t="str">
        <f t="shared" si="34"/>
        <v>PROVA_FE_DISCURSIVAS_Q10_NOTA</v>
      </c>
      <c r="C78" t="s">
        <v>160</v>
      </c>
      <c r="D78" t="str">
        <f t="shared" si="35"/>
        <v>QUESTIONARIO_PERCEPCAO_Q5</v>
      </c>
      <c r="E78" t="s">
        <v>174</v>
      </c>
      <c r="F78" t="str">
        <f t="shared" si="29"/>
        <v>QUESTIONARIO_SOCIO_Q16</v>
      </c>
      <c r="G78" t="s">
        <v>76</v>
      </c>
      <c r="H78" t="str">
        <f t="shared" si="36"/>
        <v>QUESTIONARIO_SOCIO_Q4</v>
      </c>
      <c r="I78" t="s">
        <v>64</v>
      </c>
      <c r="J78" t="str">
        <f>A222</f>
        <v>RENDA</v>
      </c>
      <c r="K78" t="s">
        <v>68</v>
      </c>
    </row>
    <row r="79" spans="1:11" x14ac:dyDescent="0.2">
      <c r="A79" s="5" t="s">
        <v>354</v>
      </c>
      <c r="B79" s="8" t="str">
        <f t="shared" si="34"/>
        <v>PROVA_FE_DISCURSIVAS_Q11_NOTA</v>
      </c>
      <c r="C79" t="s">
        <v>161</v>
      </c>
      <c r="D79" t="str">
        <f t="shared" si="35"/>
        <v>QUESTIONARIO_PERCEPCAO_Q6</v>
      </c>
      <c r="E79" t="s">
        <v>175</v>
      </c>
      <c r="F79" t="str">
        <f>A225</f>
        <v>ENSINO_MEDIO</v>
      </c>
      <c r="G79" t="s">
        <v>77</v>
      </c>
      <c r="H79" t="str">
        <f t="shared" si="36"/>
        <v>QUESTIONARIO_SOCIO_Q5</v>
      </c>
      <c r="I79" t="s">
        <v>65</v>
      </c>
      <c r="J79" t="str">
        <f>A223</f>
        <v>SITUACAO_TRABALHO</v>
      </c>
      <c r="K79" t="s">
        <v>69</v>
      </c>
    </row>
    <row r="80" spans="1:11" x14ac:dyDescent="0.2">
      <c r="A80" s="5" t="s">
        <v>355</v>
      </c>
      <c r="B80" s="8" t="str">
        <f t="shared" si="34"/>
        <v>PROVA_FE_DISCURSIVAS_Q12_NOTA</v>
      </c>
      <c r="C80" t="s">
        <v>162</v>
      </c>
      <c r="D80" t="str">
        <f t="shared" si="35"/>
        <v>QUESTIONARIO_PERCEPCAO_Q7</v>
      </c>
      <c r="E80" t="s">
        <v>176</v>
      </c>
      <c r="F80" t="str">
        <f>A226</f>
        <v>TIPO_EM</v>
      </c>
      <c r="G80" t="s">
        <v>78</v>
      </c>
      <c r="H80" t="str">
        <f t="shared" si="36"/>
        <v>QUESTIONARIO_SOCIO_Q6</v>
      </c>
      <c r="I80" t="s">
        <v>66</v>
      </c>
      <c r="J80" t="str">
        <f>A224</f>
        <v>CH_TRABALHO</v>
      </c>
      <c r="K80" t="s">
        <v>70</v>
      </c>
    </row>
    <row r="81" spans="1:11" x14ac:dyDescent="0.2">
      <c r="A81" s="5" t="s">
        <v>356</v>
      </c>
      <c r="B81" s="8" t="str">
        <f t="shared" si="34"/>
        <v>PROVA_FE_DISCURSIVAS_Q13_NOTA</v>
      </c>
      <c r="C81" t="s">
        <v>163</v>
      </c>
      <c r="D81" t="str">
        <f t="shared" si="35"/>
        <v>QUESTIONARIO_PERCEPCAO_Q8</v>
      </c>
      <c r="E81" t="s">
        <v>177</v>
      </c>
      <c r="F81" t="str">
        <f t="shared" si="29"/>
        <v>QUESTIONARIO_SOCIO_Q19</v>
      </c>
      <c r="G81" t="s">
        <v>79</v>
      </c>
      <c r="H81" t="str">
        <f t="shared" si="36"/>
        <v>QUESTIONARIO_SOCIO_Q7</v>
      </c>
      <c r="I81" t="s">
        <v>67</v>
      </c>
      <c r="J81" t="str">
        <f t="shared" si="33"/>
        <v>QUESTIONARIO_SOCIO_Q11</v>
      </c>
      <c r="K81" t="s">
        <v>71</v>
      </c>
    </row>
    <row r="82" spans="1:11" x14ac:dyDescent="0.2">
      <c r="A82" s="5" t="s">
        <v>357</v>
      </c>
      <c r="B82" s="8" t="str">
        <f t="shared" si="34"/>
        <v>PROVA_FE_DISCURSIVAS_Q14_NOTA</v>
      </c>
      <c r="C82" t="s">
        <v>164</v>
      </c>
      <c r="D82" t="str">
        <f t="shared" si="35"/>
        <v>QUESTIONARIO_PERCEPCAO_Q9</v>
      </c>
      <c r="E82" t="s">
        <v>178</v>
      </c>
      <c r="F82" t="str">
        <f>A227</f>
        <v>HORAS_ESTUDO</v>
      </c>
      <c r="G82" t="s">
        <v>80</v>
      </c>
      <c r="H82" t="str">
        <f>A222</f>
        <v>RENDA</v>
      </c>
      <c r="I82" t="s">
        <v>68</v>
      </c>
      <c r="J82" t="str">
        <f t="shared" si="33"/>
        <v>QUESTIONARIO_SOCIO_Q12</v>
      </c>
      <c r="K82" t="s">
        <v>72</v>
      </c>
    </row>
    <row r="83" spans="1:11" x14ac:dyDescent="0.2">
      <c r="A83" s="5" t="s">
        <v>358</v>
      </c>
      <c r="B83" s="8" t="str">
        <f t="shared" si="34"/>
        <v>PROVA_FE_DISCURSIVAS_Q15_NOTA</v>
      </c>
      <c r="C83" t="s">
        <v>165</v>
      </c>
      <c r="D83" t="str">
        <f>A105</f>
        <v>QUESTIONARIO_SOCIO_NUM_QUESTOES</v>
      </c>
      <c r="E83" t="s">
        <v>179</v>
      </c>
      <c r="F83" t="str">
        <f t="shared" si="29"/>
        <v>QUESTIONARIO_SOCIO_Q21</v>
      </c>
      <c r="G83" t="s">
        <v>81</v>
      </c>
      <c r="H83" t="str">
        <f>A223</f>
        <v>SITUACAO_TRABALHO</v>
      </c>
      <c r="I83" t="s">
        <v>69</v>
      </c>
      <c r="J83" t="str">
        <f t="shared" si="33"/>
        <v>QUESTIONARIO_SOCIO_Q13</v>
      </c>
      <c r="K83" t="s">
        <v>73</v>
      </c>
    </row>
    <row r="84" spans="1:11" x14ac:dyDescent="0.2">
      <c r="A84" s="5" t="s">
        <v>359</v>
      </c>
      <c r="B84" s="8" t="str">
        <f t="shared" si="34"/>
        <v>PROVA_FE_DISCURSIVAS_Q16_NOTA</v>
      </c>
      <c r="C84" t="s">
        <v>166</v>
      </c>
      <c r="D84" t="str">
        <f>A106</f>
        <v>QUESTIONARIO_SOCIO_RESPONDEU</v>
      </c>
      <c r="E84" t="s">
        <v>180</v>
      </c>
      <c r="F84" t="str">
        <f t="shared" si="29"/>
        <v>QUESTIONARIO_SOCIO_Q22</v>
      </c>
      <c r="G84" t="s">
        <v>82</v>
      </c>
      <c r="H84" t="str">
        <f>A224</f>
        <v>CH_TRABALHO</v>
      </c>
      <c r="I84" t="s">
        <v>70</v>
      </c>
      <c r="J84" t="str">
        <f t="shared" si="33"/>
        <v>QUESTIONARIO_SOCIO_Q14</v>
      </c>
      <c r="K84" t="s">
        <v>74</v>
      </c>
    </row>
    <row r="85" spans="1:11" x14ac:dyDescent="0.2">
      <c r="A85" s="5" t="s">
        <v>360</v>
      </c>
      <c r="B85" s="8" t="str">
        <f t="shared" si="34"/>
        <v>PROVA_FE_DISCURSIVAS_Q17_NOTA</v>
      </c>
      <c r="C85" t="s">
        <v>167</v>
      </c>
      <c r="D85" t="str">
        <f t="shared" ref="D85:D148" si="37">A107</f>
        <v>QUESTIONARIO_SOCIO_Q1</v>
      </c>
      <c r="E85" t="s">
        <v>181</v>
      </c>
      <c r="F85" t="str">
        <f t="shared" si="29"/>
        <v>QUESTIONARIO_SOCIO_Q23</v>
      </c>
      <c r="G85" t="s">
        <v>83</v>
      </c>
      <c r="H85" t="str">
        <f t="shared" si="36"/>
        <v>QUESTIONARIO_SOCIO_Q11</v>
      </c>
      <c r="I85" t="s">
        <v>71</v>
      </c>
      <c r="J85" t="str">
        <f t="shared" si="33"/>
        <v>QUESTIONARIO_SOCIO_Q15</v>
      </c>
      <c r="K85" t="s">
        <v>75</v>
      </c>
    </row>
    <row r="86" spans="1:11" x14ac:dyDescent="0.2">
      <c r="A86" s="5" t="s">
        <v>361</v>
      </c>
      <c r="B86" s="8" t="str">
        <f t="shared" si="34"/>
        <v>PROVA_FE_DISCURSIVAS_Q18_NOTA</v>
      </c>
      <c r="C86" t="s">
        <v>168</v>
      </c>
      <c r="D86" t="str">
        <f>A228</f>
        <v>EST_CIVIL</v>
      </c>
      <c r="E86" t="s">
        <v>182</v>
      </c>
      <c r="F86" t="str">
        <f t="shared" si="29"/>
        <v>QUESTIONARIO_SOCIO_Q24</v>
      </c>
      <c r="G86" t="s">
        <v>84</v>
      </c>
      <c r="H86" t="str">
        <f t="shared" si="36"/>
        <v>QUESTIONARIO_SOCIO_Q12</v>
      </c>
      <c r="I86" t="s">
        <v>72</v>
      </c>
      <c r="J86" t="str">
        <f t="shared" si="33"/>
        <v>QUESTIONARIO_SOCIO_Q16</v>
      </c>
      <c r="K86" t="s">
        <v>76</v>
      </c>
    </row>
    <row r="87" spans="1:11" x14ac:dyDescent="0.2">
      <c r="A87" s="5" t="s">
        <v>362</v>
      </c>
      <c r="B87" s="8" t="str">
        <f t="shared" si="34"/>
        <v>PROVA_FE_DISCURSIVAS_NOTABRUTA</v>
      </c>
      <c r="C87" t="s">
        <v>48</v>
      </c>
      <c r="D87" t="str">
        <f t="shared" si="37"/>
        <v>QUESTIONARIO_SOCIO_Q3</v>
      </c>
      <c r="E87" t="s">
        <v>183</v>
      </c>
      <c r="F87" t="str">
        <f t="shared" si="29"/>
        <v>QUESTIONARIO_SOCIO_Q25</v>
      </c>
      <c r="G87" t="s">
        <v>85</v>
      </c>
      <c r="H87" t="str">
        <f t="shared" si="36"/>
        <v>QUESTIONARIO_SOCIO_Q13</v>
      </c>
      <c r="I87" t="s">
        <v>73</v>
      </c>
      <c r="J87" t="str">
        <f>A225</f>
        <v>ENSINO_MEDIO</v>
      </c>
      <c r="K87" t="s">
        <v>77</v>
      </c>
    </row>
    <row r="88" spans="1:11" x14ac:dyDescent="0.2">
      <c r="A88" s="5" t="s">
        <v>363</v>
      </c>
      <c r="B88" s="8" t="str">
        <f t="shared" si="34"/>
        <v>PROVA_FE_NOTABRUTA</v>
      </c>
      <c r="C88" t="s">
        <v>46</v>
      </c>
      <c r="D88" t="str">
        <f t="shared" si="37"/>
        <v>QUESTIONARIO_SOCIO_Q4</v>
      </c>
      <c r="E88" t="s">
        <v>184</v>
      </c>
      <c r="F88" t="str">
        <f t="shared" si="29"/>
        <v>QUESTIONARIO_SOCIO_Q26</v>
      </c>
      <c r="G88" t="s">
        <v>86</v>
      </c>
      <c r="H88" t="str">
        <f t="shared" si="36"/>
        <v>QUESTIONARIO_SOCIO_Q14</v>
      </c>
      <c r="I88" t="s">
        <v>74</v>
      </c>
      <c r="J88" t="str">
        <f>A226</f>
        <v>TIPO_EM</v>
      </c>
      <c r="K88" t="s">
        <v>78</v>
      </c>
    </row>
    <row r="89" spans="1:11" x14ac:dyDescent="0.2">
      <c r="A89" s="5" t="s">
        <v>364</v>
      </c>
      <c r="B89" s="8" t="str">
        <f t="shared" si="34"/>
        <v>PROVA_NOTABRUTA</v>
      </c>
      <c r="C89" t="s">
        <v>40</v>
      </c>
      <c r="D89" t="str">
        <f t="shared" si="37"/>
        <v>QUESTIONARIO_SOCIO_Q5</v>
      </c>
      <c r="E89" t="s">
        <v>185</v>
      </c>
      <c r="F89" t="str">
        <f t="shared" si="29"/>
        <v>QUESTIONARIO_SOCIO_Q27</v>
      </c>
      <c r="G89" t="s">
        <v>87</v>
      </c>
      <c r="H89" t="str">
        <f t="shared" si="36"/>
        <v>QUESTIONARIO_SOCIO_Q15</v>
      </c>
      <c r="I89" t="s">
        <v>75</v>
      </c>
      <c r="J89" t="str">
        <f t="shared" si="33"/>
        <v>QUESTIONARIO_SOCIO_Q19</v>
      </c>
      <c r="K89" t="s">
        <v>79</v>
      </c>
    </row>
    <row r="90" spans="1:11" x14ac:dyDescent="0.2">
      <c r="A90" s="5" t="s">
        <v>365</v>
      </c>
      <c r="B90" s="8" t="str">
        <f t="shared" si="34"/>
        <v>QUESTIONARIO_PERCEPCAO_NUM_QUESTOES</v>
      </c>
      <c r="C90" t="s">
        <v>169</v>
      </c>
      <c r="D90" t="str">
        <f t="shared" si="37"/>
        <v>QUESTIONARIO_SOCIO_Q6</v>
      </c>
      <c r="E90" t="s">
        <v>186</v>
      </c>
      <c r="F90" t="str">
        <f t="shared" si="29"/>
        <v>QUESTIONARIO_SOCIO_Q28</v>
      </c>
      <c r="G90" t="s">
        <v>88</v>
      </c>
      <c r="H90" t="str">
        <f t="shared" si="36"/>
        <v>QUESTIONARIO_SOCIO_Q16</v>
      </c>
      <c r="I90" t="s">
        <v>76</v>
      </c>
      <c r="J90" t="str">
        <f t="shared" si="33"/>
        <v>QUESTIONARIO_SOCIO_Q20</v>
      </c>
      <c r="K90" t="s">
        <v>80</v>
      </c>
    </row>
    <row r="91" spans="1:11" x14ac:dyDescent="0.2">
      <c r="A91" s="5" t="s">
        <v>366</v>
      </c>
      <c r="B91" s="8" t="str">
        <f t="shared" si="34"/>
        <v>QUESTIONARIO_PERCEPCAO_Q1</v>
      </c>
      <c r="C91" t="s">
        <v>170</v>
      </c>
      <c r="D91" t="str">
        <f>A222</f>
        <v>RENDA</v>
      </c>
      <c r="E91" t="s">
        <v>187</v>
      </c>
      <c r="F91" t="str">
        <f t="shared" si="29"/>
        <v>QUESTIONARIO_SOCIO_Q29</v>
      </c>
      <c r="G91" t="s">
        <v>89</v>
      </c>
      <c r="H91" t="str">
        <f>A225</f>
        <v>ENSINO_MEDIO</v>
      </c>
      <c r="I91" t="s">
        <v>77</v>
      </c>
      <c r="J91" t="str">
        <f t="shared" si="33"/>
        <v>QUESTIONARIO_SOCIO_Q21</v>
      </c>
      <c r="K91" t="s">
        <v>81</v>
      </c>
    </row>
    <row r="92" spans="1:11" x14ac:dyDescent="0.2">
      <c r="A92" s="7" t="s">
        <v>335</v>
      </c>
      <c r="B92" s="8" t="str">
        <f t="shared" si="34"/>
        <v>QUESTIONARIO_PERCEPCAO_Q2</v>
      </c>
      <c r="C92" t="s">
        <v>171</v>
      </c>
      <c r="D92" t="str">
        <f t="shared" si="37"/>
        <v>QUESTIONARIO_SOCIO_Q8</v>
      </c>
      <c r="E92" t="s">
        <v>188</v>
      </c>
      <c r="F92" t="str">
        <f t="shared" si="29"/>
        <v>QUESTIONARIO_SOCIO_Q30</v>
      </c>
      <c r="G92" t="s">
        <v>90</v>
      </c>
      <c r="H92" t="str">
        <f>A226</f>
        <v>TIPO_EM</v>
      </c>
      <c r="I92" t="s">
        <v>78</v>
      </c>
      <c r="J92" t="str">
        <f t="shared" si="33"/>
        <v>QUESTIONARIO_SOCIO_Q22</v>
      </c>
      <c r="K92" t="s">
        <v>82</v>
      </c>
    </row>
    <row r="93" spans="1:11" x14ac:dyDescent="0.2">
      <c r="A93" s="5" t="s">
        <v>336</v>
      </c>
      <c r="B93" s="8" t="str">
        <f t="shared" si="34"/>
        <v>QUESTIONARIO_PERCEPCAO_Q3</v>
      </c>
      <c r="C93" t="s">
        <v>172</v>
      </c>
      <c r="D93" t="str">
        <f>A223</f>
        <v>SITUACAO_TRABALHO</v>
      </c>
      <c r="E93" t="s">
        <v>189</v>
      </c>
      <c r="F93" t="str">
        <f t="shared" si="29"/>
        <v>QUESTIONARIO_SOCIO_Q31</v>
      </c>
      <c r="G93" t="s">
        <v>91</v>
      </c>
      <c r="H93" t="str">
        <f t="shared" si="36"/>
        <v>QUESTIONARIO_SOCIO_Q19</v>
      </c>
      <c r="I93" t="s">
        <v>79</v>
      </c>
      <c r="J93" t="str">
        <f>A227</f>
        <v>HORAS_ESTUDO</v>
      </c>
      <c r="K93" t="s">
        <v>83</v>
      </c>
    </row>
    <row r="94" spans="1:11" x14ac:dyDescent="0.2">
      <c r="A94" s="5" t="s">
        <v>337</v>
      </c>
      <c r="B94" s="8" t="str">
        <f t="shared" si="34"/>
        <v>QUESTIONARIO_PERCEPCAO_Q4</v>
      </c>
      <c r="C94" t="s">
        <v>173</v>
      </c>
      <c r="D94" t="str">
        <f>A224</f>
        <v>CH_TRABALHO</v>
      </c>
      <c r="E94" t="s">
        <v>70</v>
      </c>
      <c r="F94" t="str">
        <f t="shared" si="29"/>
        <v>QUESTIONARIO_SOCIO_Q32</v>
      </c>
      <c r="G94" t="s">
        <v>92</v>
      </c>
      <c r="H94" t="str">
        <f t="shared" si="36"/>
        <v>QUESTIONARIO_SOCIO_Q20</v>
      </c>
      <c r="I94" t="s">
        <v>80</v>
      </c>
      <c r="J94" t="str">
        <f t="shared" si="33"/>
        <v>QUESTIONARIO_SOCIO_Q24</v>
      </c>
      <c r="K94" t="s">
        <v>84</v>
      </c>
    </row>
    <row r="95" spans="1:11" x14ac:dyDescent="0.2">
      <c r="A95" s="5" t="s">
        <v>338</v>
      </c>
      <c r="B95" s="8" t="str">
        <f t="shared" si="34"/>
        <v>QUESTIONARIO_PERCEPCAO_Q5</v>
      </c>
      <c r="C95" t="s">
        <v>174</v>
      </c>
      <c r="D95" t="str">
        <f t="shared" si="37"/>
        <v>QUESTIONARIO_SOCIO_Q11</v>
      </c>
      <c r="E95" t="s">
        <v>71</v>
      </c>
      <c r="F95" t="str">
        <f t="shared" si="29"/>
        <v>QUESTIONARIO_SOCIO_Q33</v>
      </c>
      <c r="G95" t="s">
        <v>93</v>
      </c>
      <c r="H95" t="str">
        <f t="shared" si="36"/>
        <v>QUESTIONARIO_SOCIO_Q21</v>
      </c>
      <c r="I95" t="s">
        <v>81</v>
      </c>
      <c r="J95" t="str">
        <f t="shared" si="33"/>
        <v>QUESTIONARIO_SOCIO_Q25</v>
      </c>
      <c r="K95" t="s">
        <v>85</v>
      </c>
    </row>
    <row r="96" spans="1:11" x14ac:dyDescent="0.2">
      <c r="A96" s="5" t="s">
        <v>367</v>
      </c>
      <c r="B96" s="8" t="str">
        <f t="shared" si="34"/>
        <v>QUESTIONARIO_PERCEPCAO_Q6</v>
      </c>
      <c r="C96" t="s">
        <v>175</v>
      </c>
      <c r="D96" t="str">
        <f t="shared" si="37"/>
        <v>QUESTIONARIO_SOCIO_Q12</v>
      </c>
      <c r="E96" t="s">
        <v>72</v>
      </c>
      <c r="F96" t="str">
        <f t="shared" si="29"/>
        <v>QUESTIONARIO_SOCIO_Q34</v>
      </c>
      <c r="G96" t="s">
        <v>94</v>
      </c>
      <c r="H96" t="str">
        <f t="shared" si="36"/>
        <v>QUESTIONARIO_SOCIO_Q22</v>
      </c>
      <c r="I96" t="s">
        <v>82</v>
      </c>
      <c r="J96" t="str">
        <f t="shared" si="33"/>
        <v>QUESTIONARIO_SOCIO_Q26</v>
      </c>
      <c r="K96" t="s">
        <v>86</v>
      </c>
    </row>
    <row r="97" spans="1:11" x14ac:dyDescent="0.2">
      <c r="A97" s="5" t="s">
        <v>368</v>
      </c>
      <c r="B97" s="8" t="str">
        <f t="shared" si="34"/>
        <v>QUESTIONARIO_PERCEPCAO_Q7</v>
      </c>
      <c r="C97" t="s">
        <v>176</v>
      </c>
      <c r="D97" t="str">
        <f t="shared" si="37"/>
        <v>QUESTIONARIO_SOCIO_Q13</v>
      </c>
      <c r="E97" t="s">
        <v>73</v>
      </c>
      <c r="F97" t="str">
        <f t="shared" si="29"/>
        <v>QUESTIONARIO_SOCIO_Q35</v>
      </c>
      <c r="G97" t="s">
        <v>95</v>
      </c>
      <c r="H97" t="str">
        <f>A227</f>
        <v>HORAS_ESTUDO</v>
      </c>
      <c r="I97" t="s">
        <v>83</v>
      </c>
      <c r="J97" t="str">
        <f t="shared" si="33"/>
        <v>QUESTIONARIO_SOCIO_Q27</v>
      </c>
      <c r="K97" t="s">
        <v>87</v>
      </c>
    </row>
    <row r="98" spans="1:11" x14ac:dyDescent="0.2">
      <c r="A98" s="5" t="s">
        <v>369</v>
      </c>
      <c r="B98" s="8" t="str">
        <f t="shared" si="34"/>
        <v>QUESTIONARIO_PERCEPCAO_Q8</v>
      </c>
      <c r="C98" t="s">
        <v>177</v>
      </c>
      <c r="D98" t="str">
        <f t="shared" si="37"/>
        <v>QUESTIONARIO_SOCIO_Q14</v>
      </c>
      <c r="E98" t="s">
        <v>74</v>
      </c>
      <c r="F98" t="str">
        <f t="shared" si="29"/>
        <v>QUESTIONARIO_SOCIO_Q36</v>
      </c>
      <c r="G98" t="s">
        <v>96</v>
      </c>
      <c r="H98" t="str">
        <f t="shared" si="36"/>
        <v>QUESTIONARIO_SOCIO_Q24</v>
      </c>
      <c r="I98" t="s">
        <v>84</v>
      </c>
      <c r="J98" t="str">
        <f t="shared" si="33"/>
        <v>QUESTIONARIO_SOCIO_Q28</v>
      </c>
      <c r="K98" t="s">
        <v>88</v>
      </c>
    </row>
    <row r="99" spans="1:11" x14ac:dyDescent="0.2">
      <c r="A99" s="5" t="s">
        <v>370</v>
      </c>
      <c r="B99" s="8" t="str">
        <f t="shared" si="34"/>
        <v>QUESTIONARIO_PERCEPCAO_Q9</v>
      </c>
      <c r="C99" t="s">
        <v>178</v>
      </c>
      <c r="D99" t="str">
        <f t="shared" si="37"/>
        <v>QUESTIONARIO_SOCIO_Q15</v>
      </c>
      <c r="E99" t="s">
        <v>75</v>
      </c>
      <c r="F99" t="str">
        <f t="shared" si="29"/>
        <v>QUESTIONARIO_SOCIO_Q37</v>
      </c>
      <c r="G99" t="s">
        <v>97</v>
      </c>
      <c r="H99" t="str">
        <f t="shared" si="36"/>
        <v>QUESTIONARIO_SOCIO_Q25</v>
      </c>
      <c r="I99" t="s">
        <v>85</v>
      </c>
      <c r="J99" t="str">
        <f t="shared" si="33"/>
        <v>QUESTIONARIO_SOCIO_Q29</v>
      </c>
      <c r="K99" t="s">
        <v>89</v>
      </c>
    </row>
    <row r="100" spans="1:11" x14ac:dyDescent="0.2">
      <c r="A100" s="5" t="s">
        <v>371</v>
      </c>
      <c r="B100" s="8" t="str">
        <f t="shared" si="34"/>
        <v>QUESTIONARIO_SOCIO_NUM_QUESTOES</v>
      </c>
      <c r="C100" t="s">
        <v>179</v>
      </c>
      <c r="D100" t="str">
        <f t="shared" si="37"/>
        <v>QUESTIONARIO_SOCIO_Q16</v>
      </c>
      <c r="E100" t="s">
        <v>76</v>
      </c>
      <c r="F100" t="str">
        <f t="shared" si="29"/>
        <v>QUESTIONARIO_SOCIO_Q38</v>
      </c>
      <c r="G100" t="s">
        <v>98</v>
      </c>
      <c r="H100" t="str">
        <f t="shared" si="36"/>
        <v>QUESTIONARIO_SOCIO_Q26</v>
      </c>
      <c r="I100" t="s">
        <v>86</v>
      </c>
      <c r="J100" t="str">
        <f t="shared" si="33"/>
        <v>QUESTIONARIO_SOCIO_Q30</v>
      </c>
      <c r="K100" t="s">
        <v>90</v>
      </c>
    </row>
    <row r="101" spans="1:11" x14ac:dyDescent="0.2">
      <c r="A101" s="5" t="s">
        <v>372</v>
      </c>
      <c r="B101" s="8" t="str">
        <f t="shared" si="34"/>
        <v>QUESTIONARIO_SOCIO_RESPONDEU</v>
      </c>
      <c r="C101" t="s">
        <v>180</v>
      </c>
      <c r="D101" t="str">
        <f>A225</f>
        <v>ENSINO_MEDIO</v>
      </c>
      <c r="E101" t="s">
        <v>77</v>
      </c>
      <c r="F101" t="str">
        <f t="shared" si="29"/>
        <v>QUESTIONARIO_SOCIO_Q39</v>
      </c>
      <c r="G101" t="s">
        <v>99</v>
      </c>
      <c r="H101" t="str">
        <f t="shared" si="36"/>
        <v>QUESTIONARIO_SOCIO_Q27</v>
      </c>
      <c r="I101" t="s">
        <v>87</v>
      </c>
      <c r="J101" t="str">
        <f t="shared" si="33"/>
        <v>QUESTIONARIO_SOCIO_Q31</v>
      </c>
      <c r="K101" t="s">
        <v>91</v>
      </c>
    </row>
    <row r="102" spans="1:11" x14ac:dyDescent="0.2">
      <c r="A102" s="5" t="s">
        <v>373</v>
      </c>
      <c r="B102" s="8" t="str">
        <f>A228</f>
        <v>EST_CIVIL</v>
      </c>
      <c r="C102" t="s">
        <v>181</v>
      </c>
      <c r="D102" t="str">
        <f>A226</f>
        <v>TIPO_EM</v>
      </c>
      <c r="E102" t="s">
        <v>78</v>
      </c>
      <c r="F102" t="str">
        <f t="shared" si="29"/>
        <v>QUESTIONARIO_SOCIO_Q40</v>
      </c>
      <c r="G102" t="s">
        <v>100</v>
      </c>
      <c r="H102" t="str">
        <f t="shared" si="36"/>
        <v>QUESTIONARIO_SOCIO_Q28</v>
      </c>
      <c r="I102" t="s">
        <v>88</v>
      </c>
      <c r="J102" t="str">
        <f t="shared" si="33"/>
        <v>QUESTIONARIO_SOCIO_Q32</v>
      </c>
      <c r="K102" t="s">
        <v>92</v>
      </c>
    </row>
    <row r="103" spans="1:11" x14ac:dyDescent="0.2">
      <c r="A103" s="5" t="s">
        <v>374</v>
      </c>
      <c r="B103" s="8" t="str">
        <f t="shared" si="34"/>
        <v>QUESTIONARIO_SOCIO_Q2</v>
      </c>
      <c r="C103" t="s">
        <v>182</v>
      </c>
      <c r="D103" t="str">
        <f t="shared" si="37"/>
        <v>QUESTIONARIO_SOCIO_Q19</v>
      </c>
      <c r="E103" t="s">
        <v>79</v>
      </c>
      <c r="F103" t="str">
        <f t="shared" si="29"/>
        <v>QUESTIONARIO_SOCIO_Q41</v>
      </c>
      <c r="G103" t="s">
        <v>101</v>
      </c>
      <c r="H103" t="str">
        <f t="shared" si="36"/>
        <v>QUESTIONARIO_SOCIO_Q29</v>
      </c>
      <c r="I103" t="s">
        <v>89</v>
      </c>
      <c r="J103" t="str">
        <f t="shared" si="33"/>
        <v>QUESTIONARIO_SOCIO_Q33</v>
      </c>
      <c r="K103" t="s">
        <v>93</v>
      </c>
    </row>
    <row r="104" spans="1:11" x14ac:dyDescent="0.2">
      <c r="A104" s="5" t="s">
        <v>375</v>
      </c>
      <c r="B104" s="8" t="str">
        <f t="shared" si="34"/>
        <v>QUESTIONARIO_SOCIO_Q3</v>
      </c>
      <c r="C104" t="s">
        <v>183</v>
      </c>
      <c r="D104" t="str">
        <f t="shared" si="37"/>
        <v>QUESTIONARIO_SOCIO_Q20</v>
      </c>
      <c r="E104" t="s">
        <v>80</v>
      </c>
      <c r="F104" t="str">
        <f t="shared" si="29"/>
        <v>QUESTIONARIO_SOCIO_Q42</v>
      </c>
      <c r="G104" t="s">
        <v>102</v>
      </c>
      <c r="H104" t="str">
        <f t="shared" si="36"/>
        <v>QUESTIONARIO_SOCIO_Q30</v>
      </c>
      <c r="I104" t="s">
        <v>90</v>
      </c>
      <c r="J104" t="str">
        <f t="shared" si="33"/>
        <v>QUESTIONARIO_SOCIO_Q34</v>
      </c>
      <c r="K104" t="s">
        <v>94</v>
      </c>
    </row>
    <row r="105" spans="1:11" x14ac:dyDescent="0.2">
      <c r="A105" s="5" t="s">
        <v>339</v>
      </c>
      <c r="B105" s="8" t="str">
        <f t="shared" si="34"/>
        <v>QUESTIONARIO_SOCIO_Q4</v>
      </c>
      <c r="C105" t="s">
        <v>184</v>
      </c>
      <c r="D105" t="str">
        <f t="shared" si="37"/>
        <v>QUESTIONARIO_SOCIO_Q21</v>
      </c>
      <c r="E105" t="s">
        <v>81</v>
      </c>
      <c r="F105" t="str">
        <f t="shared" si="29"/>
        <v>QUESTIONARIO_SOCIO_Q43</v>
      </c>
      <c r="G105" t="s">
        <v>103</v>
      </c>
      <c r="H105" t="str">
        <f t="shared" si="36"/>
        <v>QUESTIONARIO_SOCIO_Q31</v>
      </c>
      <c r="I105" t="s">
        <v>91</v>
      </c>
      <c r="J105" t="str">
        <f t="shared" si="33"/>
        <v>QUESTIONARIO_SOCIO_Q35</v>
      </c>
      <c r="K105" t="s">
        <v>95</v>
      </c>
    </row>
    <row r="106" spans="1:11" x14ac:dyDescent="0.2">
      <c r="A106" s="5" t="s">
        <v>340</v>
      </c>
      <c r="B106" s="8" t="str">
        <f t="shared" si="34"/>
        <v>QUESTIONARIO_SOCIO_Q5</v>
      </c>
      <c r="C106" t="s">
        <v>185</v>
      </c>
      <c r="D106" t="str">
        <f t="shared" si="37"/>
        <v>QUESTIONARIO_SOCIO_Q22</v>
      </c>
      <c r="E106" t="s">
        <v>82</v>
      </c>
      <c r="F106" t="str">
        <f t="shared" si="29"/>
        <v>QUESTIONARIO_SOCIO_Q44</v>
      </c>
      <c r="G106" t="s">
        <v>104</v>
      </c>
      <c r="H106" t="str">
        <f t="shared" si="36"/>
        <v>QUESTIONARIO_SOCIO_Q32</v>
      </c>
      <c r="I106" t="s">
        <v>92</v>
      </c>
      <c r="J106" t="str">
        <f t="shared" si="33"/>
        <v>QUESTIONARIO_SOCIO_Q36</v>
      </c>
      <c r="K106" t="s">
        <v>96</v>
      </c>
    </row>
    <row r="107" spans="1:11" x14ac:dyDescent="0.2">
      <c r="A107" s="5" t="s">
        <v>376</v>
      </c>
      <c r="B107" s="8" t="str">
        <f>A222</f>
        <v>RENDA</v>
      </c>
      <c r="C107" t="s">
        <v>186</v>
      </c>
      <c r="D107" t="str">
        <f t="shared" si="37"/>
        <v>QUESTIONARIO_SOCIO_Q23</v>
      </c>
      <c r="E107" t="s">
        <v>83</v>
      </c>
      <c r="F107" t="str">
        <f t="shared" si="29"/>
        <v>QUESTIONARIO_SOCIO_Q45</v>
      </c>
      <c r="G107" t="s">
        <v>105</v>
      </c>
      <c r="H107" t="str">
        <f t="shared" si="36"/>
        <v>QUESTIONARIO_SOCIO_Q33</v>
      </c>
      <c r="I107" t="s">
        <v>93</v>
      </c>
      <c r="J107" t="str">
        <f t="shared" si="33"/>
        <v>QUESTIONARIO_SOCIO_Q37</v>
      </c>
      <c r="K107" t="s">
        <v>97</v>
      </c>
    </row>
    <row r="108" spans="1:11" x14ac:dyDescent="0.2">
      <c r="A108" s="5" t="s">
        <v>377</v>
      </c>
      <c r="B108" s="8" t="str">
        <f t="shared" si="34"/>
        <v>QUESTIONARIO_SOCIO_Q7</v>
      </c>
      <c r="C108" t="s">
        <v>187</v>
      </c>
      <c r="D108" t="str">
        <f t="shared" si="37"/>
        <v>QUESTIONARIO_SOCIO_Q24</v>
      </c>
      <c r="E108" t="s">
        <v>84</v>
      </c>
      <c r="F108" t="str">
        <f t="shared" si="29"/>
        <v>QUESTIONARIO_SOCIO_Q46</v>
      </c>
      <c r="G108" t="s">
        <v>106</v>
      </c>
      <c r="H108" t="str">
        <f t="shared" si="36"/>
        <v>QUESTIONARIO_SOCIO_Q34</v>
      </c>
      <c r="I108" t="s">
        <v>94</v>
      </c>
      <c r="J108" t="str">
        <f t="shared" si="33"/>
        <v>QUESTIONARIO_SOCIO_Q38</v>
      </c>
      <c r="K108" t="s">
        <v>98</v>
      </c>
    </row>
    <row r="109" spans="1:11" x14ac:dyDescent="0.2">
      <c r="A109" s="5" t="s">
        <v>378</v>
      </c>
      <c r="B109" s="8" t="str">
        <f>A223</f>
        <v>SITUACAO_TRABALHO</v>
      </c>
      <c r="C109" t="s">
        <v>188</v>
      </c>
      <c r="D109" t="str">
        <f t="shared" si="37"/>
        <v>QUESTIONARIO_SOCIO_Q25</v>
      </c>
      <c r="E109" t="s">
        <v>85</v>
      </c>
      <c r="F109" t="str">
        <f t="shared" si="29"/>
        <v>QUESTIONARIO_SOCIO_Q47</v>
      </c>
      <c r="G109" t="s">
        <v>107</v>
      </c>
      <c r="H109" t="str">
        <f t="shared" si="36"/>
        <v>QUESTIONARIO_SOCIO_Q35</v>
      </c>
      <c r="I109" t="s">
        <v>95</v>
      </c>
      <c r="J109" t="str">
        <f t="shared" si="33"/>
        <v>QUESTIONARIO_SOCIO_Q39</v>
      </c>
      <c r="K109" t="s">
        <v>99</v>
      </c>
    </row>
    <row r="110" spans="1:11" x14ac:dyDescent="0.2">
      <c r="A110" s="5" t="s">
        <v>379</v>
      </c>
      <c r="B110" s="8" t="str">
        <f>A224</f>
        <v>CH_TRABALHO</v>
      </c>
      <c r="C110" t="s">
        <v>189</v>
      </c>
      <c r="D110" t="str">
        <f t="shared" si="37"/>
        <v>QUESTIONARIO_SOCIO_Q26</v>
      </c>
      <c r="E110" t="s">
        <v>86</v>
      </c>
      <c r="F110" t="str">
        <f t="shared" si="29"/>
        <v>QUESTIONARIO_SOCIO_Q48</v>
      </c>
      <c r="G110" t="s">
        <v>108</v>
      </c>
      <c r="H110" t="str">
        <f t="shared" si="36"/>
        <v>QUESTIONARIO_SOCIO_Q36</v>
      </c>
      <c r="I110" t="s">
        <v>96</v>
      </c>
      <c r="J110" t="str">
        <f t="shared" si="33"/>
        <v>QUESTIONARIO_SOCIO_Q40</v>
      </c>
      <c r="K110" t="s">
        <v>100</v>
      </c>
    </row>
    <row r="111" spans="1:11" x14ac:dyDescent="0.2">
      <c r="A111" s="5" t="s">
        <v>380</v>
      </c>
      <c r="B111" s="8" t="str">
        <f t="shared" si="34"/>
        <v>QUESTIONARIO_SOCIO_Q10</v>
      </c>
      <c r="C111" t="s">
        <v>70</v>
      </c>
      <c r="D111" t="str">
        <f t="shared" si="37"/>
        <v>QUESTIONARIO_SOCIO_Q27</v>
      </c>
      <c r="E111" t="s">
        <v>87</v>
      </c>
      <c r="F111" t="str">
        <f t="shared" si="29"/>
        <v>QUESTIONARIO_SOCIO_Q49</v>
      </c>
      <c r="G111" t="s">
        <v>109</v>
      </c>
      <c r="H111" t="str">
        <f t="shared" si="36"/>
        <v>QUESTIONARIO_SOCIO_Q37</v>
      </c>
      <c r="I111" t="s">
        <v>97</v>
      </c>
      <c r="J111" t="str">
        <f t="shared" si="33"/>
        <v>QUESTIONARIO_SOCIO_Q41</v>
      </c>
      <c r="K111" t="s">
        <v>101</v>
      </c>
    </row>
    <row r="112" spans="1:11" x14ac:dyDescent="0.2">
      <c r="A112" s="5" t="s">
        <v>381</v>
      </c>
      <c r="B112" s="8" t="str">
        <f t="shared" si="34"/>
        <v>QUESTIONARIO_SOCIO_Q11</v>
      </c>
      <c r="C112" t="s">
        <v>71</v>
      </c>
      <c r="D112" t="str">
        <f>A227</f>
        <v>HORAS_ESTUDO</v>
      </c>
      <c r="E112" t="s">
        <v>88</v>
      </c>
      <c r="F112" t="str">
        <f t="shared" si="29"/>
        <v>QUESTIONARIO_SOCIO_Q50</v>
      </c>
      <c r="G112" t="s">
        <v>110</v>
      </c>
      <c r="H112" t="str">
        <f t="shared" si="36"/>
        <v>QUESTIONARIO_SOCIO_Q38</v>
      </c>
      <c r="I112" t="s">
        <v>98</v>
      </c>
      <c r="J112" t="str">
        <f t="shared" si="33"/>
        <v>QUESTIONARIO_SOCIO_Q42</v>
      </c>
      <c r="K112" t="s">
        <v>102</v>
      </c>
    </row>
    <row r="113" spans="1:11" x14ac:dyDescent="0.2">
      <c r="A113" s="5" t="s">
        <v>382</v>
      </c>
      <c r="B113" s="8" t="str">
        <f t="shared" si="34"/>
        <v>QUESTIONARIO_SOCIO_Q12</v>
      </c>
      <c r="C113" t="s">
        <v>72</v>
      </c>
      <c r="D113" t="str">
        <f t="shared" si="37"/>
        <v>QUESTIONARIO_SOCIO_Q29</v>
      </c>
      <c r="E113" t="s">
        <v>89</v>
      </c>
      <c r="F113" t="str">
        <f t="shared" si="29"/>
        <v>QUESTIONARIO_SOCIO_Q51</v>
      </c>
      <c r="G113" t="s">
        <v>111</v>
      </c>
      <c r="H113" t="str">
        <f t="shared" si="36"/>
        <v>QUESTIONARIO_SOCIO_Q39</v>
      </c>
      <c r="I113" t="s">
        <v>99</v>
      </c>
      <c r="J113" t="str">
        <f t="shared" si="33"/>
        <v>QUESTIONARIO_SOCIO_Q43</v>
      </c>
      <c r="K113" t="s">
        <v>103</v>
      </c>
    </row>
    <row r="114" spans="1:11" x14ac:dyDescent="0.2">
      <c r="A114" s="5" t="s">
        <v>383</v>
      </c>
      <c r="B114" s="8" t="str">
        <f>A225</f>
        <v>ENSINO_MEDIO</v>
      </c>
      <c r="C114" t="s">
        <v>73</v>
      </c>
      <c r="D114" t="str">
        <f t="shared" si="37"/>
        <v>QUESTIONARIO_SOCIO_Q30</v>
      </c>
      <c r="E114" t="s">
        <v>90</v>
      </c>
      <c r="F114" t="str">
        <f t="shared" si="29"/>
        <v>QUESTIONARIO_SOCIO_Q52</v>
      </c>
      <c r="G114" t="s">
        <v>112</v>
      </c>
      <c r="H114" t="str">
        <f t="shared" si="36"/>
        <v>QUESTIONARIO_SOCIO_Q40</v>
      </c>
      <c r="I114" t="s">
        <v>100</v>
      </c>
      <c r="J114" t="str">
        <f t="shared" si="33"/>
        <v>QUESTIONARIO_SOCIO_Q44</v>
      </c>
      <c r="K114" t="s">
        <v>104</v>
      </c>
    </row>
    <row r="115" spans="1:11" x14ac:dyDescent="0.2">
      <c r="A115" s="5" t="s">
        <v>384</v>
      </c>
      <c r="B115" s="8" t="str">
        <f>A226</f>
        <v>TIPO_EM</v>
      </c>
      <c r="C115" t="s">
        <v>74</v>
      </c>
      <c r="D115" t="str">
        <f t="shared" si="37"/>
        <v>QUESTIONARIO_SOCIO_Q31</v>
      </c>
      <c r="E115" t="s">
        <v>91</v>
      </c>
      <c r="F115" t="str">
        <f t="shared" si="29"/>
        <v>QUESTIONARIO_SOCIO_Q53</v>
      </c>
      <c r="G115" t="s">
        <v>113</v>
      </c>
      <c r="H115" t="str">
        <f t="shared" si="36"/>
        <v>QUESTIONARIO_SOCIO_Q41</v>
      </c>
      <c r="I115" t="s">
        <v>101</v>
      </c>
      <c r="J115" t="str">
        <f t="shared" si="33"/>
        <v>QUESTIONARIO_SOCIO_Q45</v>
      </c>
      <c r="K115" t="s">
        <v>105</v>
      </c>
    </row>
    <row r="116" spans="1:11" x14ac:dyDescent="0.2">
      <c r="A116" s="5" t="s">
        <v>385</v>
      </c>
      <c r="B116" s="8" t="str">
        <f t="shared" si="34"/>
        <v>QUESTIONARIO_SOCIO_Q15</v>
      </c>
      <c r="C116" t="s">
        <v>75</v>
      </c>
      <c r="D116" t="str">
        <f t="shared" si="37"/>
        <v>QUESTIONARIO_SOCIO_Q32</v>
      </c>
      <c r="E116" t="s">
        <v>92</v>
      </c>
      <c r="F116" t="str">
        <f t="shared" si="29"/>
        <v>QUESTIONARIO_SOCIO_Q54</v>
      </c>
      <c r="G116" t="s">
        <v>114</v>
      </c>
      <c r="H116" t="str">
        <f t="shared" si="36"/>
        <v>QUESTIONARIO_SOCIO_Q42</v>
      </c>
      <c r="I116" t="s">
        <v>102</v>
      </c>
      <c r="J116" t="str">
        <f t="shared" si="33"/>
        <v>QUESTIONARIO_SOCIO_Q46</v>
      </c>
      <c r="K116" t="s">
        <v>106</v>
      </c>
    </row>
    <row r="117" spans="1:11" x14ac:dyDescent="0.2">
      <c r="A117" s="5" t="s">
        <v>386</v>
      </c>
      <c r="B117" s="8" t="str">
        <f t="shared" si="34"/>
        <v>QUESTIONARIO_SOCIO_Q16</v>
      </c>
      <c r="C117" t="s">
        <v>76</v>
      </c>
      <c r="D117" t="str">
        <f t="shared" si="37"/>
        <v>QUESTIONARIO_SOCIO_Q33</v>
      </c>
      <c r="E117" t="s">
        <v>93</v>
      </c>
      <c r="H117" t="str">
        <f t="shared" si="36"/>
        <v>QUESTIONARIO_SOCIO_Q43</v>
      </c>
      <c r="I117" t="s">
        <v>103</v>
      </c>
      <c r="J117" t="str">
        <f t="shared" si="33"/>
        <v>QUESTIONARIO_SOCIO_Q47</v>
      </c>
      <c r="K117" t="s">
        <v>107</v>
      </c>
    </row>
    <row r="118" spans="1:11" x14ac:dyDescent="0.2">
      <c r="A118" s="5" t="s">
        <v>387</v>
      </c>
      <c r="B118" s="8" t="str">
        <f t="shared" si="34"/>
        <v>QUESTIONARIO_SOCIO_Q17</v>
      </c>
      <c r="C118" t="s">
        <v>77</v>
      </c>
      <c r="D118" t="str">
        <f t="shared" si="37"/>
        <v>QUESTIONARIO_SOCIO_Q34</v>
      </c>
      <c r="E118" t="s">
        <v>94</v>
      </c>
      <c r="H118" t="str">
        <f t="shared" si="36"/>
        <v>QUESTIONARIO_SOCIO_Q44</v>
      </c>
      <c r="I118" t="s">
        <v>104</v>
      </c>
      <c r="J118" t="str">
        <f t="shared" si="33"/>
        <v>QUESTIONARIO_SOCIO_Q48</v>
      </c>
      <c r="K118" t="s">
        <v>108</v>
      </c>
    </row>
    <row r="119" spans="1:11" x14ac:dyDescent="0.2">
      <c r="A119" s="5" t="s">
        <v>388</v>
      </c>
      <c r="B119" s="8" t="str">
        <f t="shared" si="34"/>
        <v>QUESTIONARIO_SOCIO_Q18</v>
      </c>
      <c r="C119" t="s">
        <v>78</v>
      </c>
      <c r="D119" t="str">
        <f t="shared" si="37"/>
        <v>QUESTIONARIO_SOCIO_Q35</v>
      </c>
      <c r="E119" t="s">
        <v>95</v>
      </c>
      <c r="H119" t="str">
        <f t="shared" si="36"/>
        <v>QUESTIONARIO_SOCIO_Q45</v>
      </c>
      <c r="I119" t="s">
        <v>105</v>
      </c>
      <c r="J119" t="str">
        <f t="shared" si="33"/>
        <v>QUESTIONARIO_SOCIO_Q49</v>
      </c>
      <c r="K119" t="s">
        <v>109</v>
      </c>
    </row>
    <row r="120" spans="1:11" x14ac:dyDescent="0.2">
      <c r="A120" s="5" t="s">
        <v>389</v>
      </c>
      <c r="B120" s="8" t="str">
        <f t="shared" si="34"/>
        <v>QUESTIONARIO_SOCIO_Q19</v>
      </c>
      <c r="C120" t="s">
        <v>79</v>
      </c>
      <c r="D120" t="str">
        <f t="shared" si="37"/>
        <v>QUESTIONARIO_SOCIO_Q36</v>
      </c>
      <c r="E120" t="s">
        <v>96</v>
      </c>
      <c r="H120" t="str">
        <f t="shared" si="36"/>
        <v>QUESTIONARIO_SOCIO_Q46</v>
      </c>
      <c r="I120" t="s">
        <v>106</v>
      </c>
      <c r="J120" t="str">
        <f t="shared" si="33"/>
        <v>QUESTIONARIO_SOCIO_Q50</v>
      </c>
      <c r="K120" t="s">
        <v>110</v>
      </c>
    </row>
    <row r="121" spans="1:11" x14ac:dyDescent="0.2">
      <c r="A121" s="5" t="s">
        <v>390</v>
      </c>
      <c r="B121" s="8" t="str">
        <f t="shared" si="34"/>
        <v>QUESTIONARIO_SOCIO_Q20</v>
      </c>
      <c r="C121" t="s">
        <v>80</v>
      </c>
      <c r="D121" t="str">
        <f t="shared" si="37"/>
        <v>QUESTIONARIO_SOCIO_Q37</v>
      </c>
      <c r="E121" t="s">
        <v>97</v>
      </c>
      <c r="H121" t="str">
        <f t="shared" si="36"/>
        <v>QUESTIONARIO_SOCIO_Q47</v>
      </c>
      <c r="I121" t="s">
        <v>107</v>
      </c>
      <c r="J121" t="str">
        <f t="shared" si="33"/>
        <v>QUESTIONARIO_SOCIO_Q51</v>
      </c>
      <c r="K121" t="s">
        <v>111</v>
      </c>
    </row>
    <row r="122" spans="1:11" x14ac:dyDescent="0.2">
      <c r="A122" s="5" t="s">
        <v>391</v>
      </c>
      <c r="B122" s="8" t="str">
        <f t="shared" si="34"/>
        <v>QUESTIONARIO_SOCIO_Q21</v>
      </c>
      <c r="C122" t="s">
        <v>81</v>
      </c>
      <c r="D122" t="str">
        <f t="shared" si="37"/>
        <v>QUESTIONARIO_SOCIO_Q38</v>
      </c>
      <c r="E122" t="s">
        <v>98</v>
      </c>
      <c r="H122" t="str">
        <f t="shared" si="36"/>
        <v>QUESTIONARIO_SOCIO_Q48</v>
      </c>
      <c r="I122" t="s">
        <v>108</v>
      </c>
      <c r="J122" t="str">
        <f t="shared" si="33"/>
        <v>QUESTIONARIO_SOCIO_Q52</v>
      </c>
      <c r="K122" t="s">
        <v>112</v>
      </c>
    </row>
    <row r="123" spans="1:11" x14ac:dyDescent="0.2">
      <c r="A123" s="5" t="s">
        <v>392</v>
      </c>
      <c r="B123" s="8" t="str">
        <f t="shared" si="34"/>
        <v>QUESTIONARIO_SOCIO_Q22</v>
      </c>
      <c r="C123" t="s">
        <v>82</v>
      </c>
      <c r="D123" t="str">
        <f t="shared" si="37"/>
        <v>QUESTIONARIO_SOCIO_Q39</v>
      </c>
      <c r="E123" t="s">
        <v>99</v>
      </c>
      <c r="H123" t="str">
        <f t="shared" si="36"/>
        <v>QUESTIONARIO_SOCIO_Q49</v>
      </c>
      <c r="I123" t="s">
        <v>109</v>
      </c>
      <c r="J123" t="str">
        <f t="shared" si="33"/>
        <v>QUESTIONARIO_SOCIO_Q53</v>
      </c>
      <c r="K123" t="s">
        <v>113</v>
      </c>
    </row>
    <row r="124" spans="1:11" x14ac:dyDescent="0.2">
      <c r="A124" s="5" t="s">
        <v>393</v>
      </c>
      <c r="B124" s="8" t="str">
        <f t="shared" si="34"/>
        <v>QUESTIONARIO_SOCIO_Q23</v>
      </c>
      <c r="C124" t="s">
        <v>83</v>
      </c>
      <c r="D124" t="str">
        <f t="shared" si="37"/>
        <v>QUESTIONARIO_SOCIO_Q40</v>
      </c>
      <c r="E124" t="s">
        <v>100</v>
      </c>
      <c r="H124" t="str">
        <f t="shared" si="36"/>
        <v>QUESTIONARIO_SOCIO_Q50</v>
      </c>
      <c r="I124" t="s">
        <v>110</v>
      </c>
      <c r="J124" t="str">
        <f t="shared" si="33"/>
        <v>QUESTIONARIO_SOCIO_Q54</v>
      </c>
      <c r="K124" t="s">
        <v>114</v>
      </c>
    </row>
    <row r="125" spans="1:11" x14ac:dyDescent="0.2">
      <c r="A125" s="5" t="s">
        <v>394</v>
      </c>
      <c r="B125" s="8" t="str">
        <f>A227</f>
        <v>HORAS_ESTUDO</v>
      </c>
      <c r="C125" t="s">
        <v>84</v>
      </c>
      <c r="D125" t="str">
        <f t="shared" si="37"/>
        <v>QUESTIONARIO_SOCIO_Q41</v>
      </c>
      <c r="E125" t="s">
        <v>101</v>
      </c>
      <c r="H125" t="str">
        <f t="shared" si="36"/>
        <v>QUESTIONARIO_SOCIO_Q51</v>
      </c>
      <c r="I125" t="s">
        <v>111</v>
      </c>
      <c r="J125" t="str">
        <f t="shared" si="33"/>
        <v>QUESTIONARIO_SOCIO_Q55</v>
      </c>
      <c r="K125" t="s">
        <v>190</v>
      </c>
    </row>
    <row r="126" spans="1:11" x14ac:dyDescent="0.2">
      <c r="A126" s="5" t="s">
        <v>395</v>
      </c>
      <c r="B126" s="8" t="str">
        <f t="shared" si="34"/>
        <v>QUESTIONARIO_SOCIO_Q25</v>
      </c>
      <c r="C126" t="s">
        <v>85</v>
      </c>
      <c r="D126" t="str">
        <f t="shared" si="37"/>
        <v>QUESTIONARIO_SOCIO_Q42</v>
      </c>
      <c r="E126" t="s">
        <v>102</v>
      </c>
      <c r="H126" t="str">
        <f t="shared" si="36"/>
        <v>QUESTIONARIO_SOCIO_Q52</v>
      </c>
      <c r="I126" t="s">
        <v>112</v>
      </c>
      <c r="J126" t="str">
        <f t="shared" si="33"/>
        <v>QUESTIONARIO_SOCIO_Q56</v>
      </c>
      <c r="K126" t="s">
        <v>191</v>
      </c>
    </row>
    <row r="127" spans="1:11" x14ac:dyDescent="0.2">
      <c r="A127" s="5" t="s">
        <v>396</v>
      </c>
      <c r="B127" s="8" t="str">
        <f t="shared" si="34"/>
        <v>QUESTIONARIO_SOCIO_Q26</v>
      </c>
      <c r="C127" t="s">
        <v>86</v>
      </c>
      <c r="D127" t="str">
        <f t="shared" si="37"/>
        <v>QUESTIONARIO_SOCIO_Q43</v>
      </c>
      <c r="E127" t="s">
        <v>103</v>
      </c>
      <c r="H127" t="str">
        <f t="shared" si="36"/>
        <v>QUESTIONARIO_SOCIO_Q53</v>
      </c>
      <c r="I127" t="s">
        <v>113</v>
      </c>
      <c r="J127" t="str">
        <f t="shared" si="33"/>
        <v>QUESTIONARIO_SOCIO_Q57</v>
      </c>
      <c r="K127" t="s">
        <v>192</v>
      </c>
    </row>
    <row r="128" spans="1:11" x14ac:dyDescent="0.2">
      <c r="A128" s="5" t="s">
        <v>397</v>
      </c>
      <c r="B128" s="8" t="str">
        <f t="shared" si="34"/>
        <v>QUESTIONARIO_SOCIO_Q27</v>
      </c>
      <c r="C128" t="s">
        <v>87</v>
      </c>
      <c r="D128" t="str">
        <f t="shared" si="37"/>
        <v>QUESTIONARIO_SOCIO_Q44</v>
      </c>
      <c r="E128" t="s">
        <v>104</v>
      </c>
      <c r="H128" t="str">
        <f t="shared" si="36"/>
        <v>QUESTIONARIO_SOCIO_Q54</v>
      </c>
      <c r="I128" t="s">
        <v>114</v>
      </c>
      <c r="J128" t="str">
        <f t="shared" si="33"/>
        <v>QUESTIONARIO_SOCIO_Q58</v>
      </c>
      <c r="K128" t="s">
        <v>193</v>
      </c>
    </row>
    <row r="129" spans="1:11" x14ac:dyDescent="0.2">
      <c r="A129" s="5" t="s">
        <v>398</v>
      </c>
      <c r="B129" s="8" t="str">
        <f t="shared" si="34"/>
        <v>QUESTIONARIO_SOCIO_Q28</v>
      </c>
      <c r="C129" t="s">
        <v>88</v>
      </c>
      <c r="D129" t="str">
        <f t="shared" si="37"/>
        <v>QUESTIONARIO_SOCIO_Q45</v>
      </c>
      <c r="E129" t="s">
        <v>105</v>
      </c>
      <c r="H129" t="str">
        <f t="shared" si="36"/>
        <v>QUESTIONARIO_SOCIO_Q55</v>
      </c>
      <c r="I129" t="s">
        <v>190</v>
      </c>
      <c r="J129" t="str">
        <f t="shared" si="33"/>
        <v>QUESTIONARIO_SOCIO_Q59</v>
      </c>
      <c r="K129" t="s">
        <v>194</v>
      </c>
    </row>
    <row r="130" spans="1:11" x14ac:dyDescent="0.2">
      <c r="A130" s="5" t="s">
        <v>399</v>
      </c>
      <c r="B130" s="8" t="str">
        <f t="shared" si="34"/>
        <v>QUESTIONARIO_SOCIO_Q29</v>
      </c>
      <c r="C130" t="s">
        <v>89</v>
      </c>
      <c r="D130" t="str">
        <f t="shared" si="37"/>
        <v>QUESTIONARIO_SOCIO_Q46</v>
      </c>
      <c r="E130" t="s">
        <v>106</v>
      </c>
      <c r="H130" t="str">
        <f t="shared" si="36"/>
        <v>QUESTIONARIO_SOCIO_Q56</v>
      </c>
      <c r="I130" t="s">
        <v>191</v>
      </c>
      <c r="J130" t="str">
        <f t="shared" si="33"/>
        <v>QUESTIONARIO_SOCIO_Q60</v>
      </c>
      <c r="K130" t="s">
        <v>195</v>
      </c>
    </row>
    <row r="131" spans="1:11" x14ac:dyDescent="0.2">
      <c r="A131" s="5" t="s">
        <v>400</v>
      </c>
      <c r="B131" s="8" t="str">
        <f t="shared" si="34"/>
        <v>QUESTIONARIO_SOCIO_Q30</v>
      </c>
      <c r="C131" t="s">
        <v>90</v>
      </c>
      <c r="D131" t="str">
        <f t="shared" si="37"/>
        <v>QUESTIONARIO_SOCIO_Q47</v>
      </c>
      <c r="E131" t="s">
        <v>107</v>
      </c>
      <c r="H131" t="str">
        <f t="shared" si="36"/>
        <v>QUESTIONARIO_SOCIO_Q57</v>
      </c>
      <c r="I131" t="s">
        <v>192</v>
      </c>
      <c r="J131" t="str">
        <f t="shared" si="33"/>
        <v>QUESTIONARIO_SOCIO_Q61</v>
      </c>
      <c r="K131" t="s">
        <v>196</v>
      </c>
    </row>
    <row r="132" spans="1:11" x14ac:dyDescent="0.2">
      <c r="A132" s="5" t="s">
        <v>401</v>
      </c>
      <c r="B132" s="8" t="str">
        <f t="shared" si="34"/>
        <v>QUESTIONARIO_SOCIO_Q31</v>
      </c>
      <c r="C132" t="s">
        <v>91</v>
      </c>
      <c r="D132" t="str">
        <f t="shared" si="37"/>
        <v>QUESTIONARIO_SOCIO_Q48</v>
      </c>
      <c r="E132" t="s">
        <v>108</v>
      </c>
      <c r="H132" t="str">
        <f t="shared" si="36"/>
        <v>QUESTIONARIO_SOCIO_Q58</v>
      </c>
      <c r="I132" t="s">
        <v>193</v>
      </c>
      <c r="J132" t="str">
        <f t="shared" si="33"/>
        <v>QUESTIONARIO_SOCIO_Q62</v>
      </c>
      <c r="K132" t="s">
        <v>197</v>
      </c>
    </row>
    <row r="133" spans="1:11" x14ac:dyDescent="0.2">
      <c r="A133" s="5" t="s">
        <v>402</v>
      </c>
      <c r="B133" s="8" t="str">
        <f t="shared" si="34"/>
        <v>QUESTIONARIO_SOCIO_Q32</v>
      </c>
      <c r="C133" t="s">
        <v>92</v>
      </c>
      <c r="D133" t="str">
        <f t="shared" si="37"/>
        <v>QUESTIONARIO_SOCIO_Q49</v>
      </c>
      <c r="E133" t="s">
        <v>109</v>
      </c>
      <c r="H133" t="str">
        <f t="shared" si="36"/>
        <v>QUESTIONARIO_SOCIO_Q59</v>
      </c>
      <c r="I133" t="s">
        <v>194</v>
      </c>
      <c r="J133" t="str">
        <f t="shared" si="33"/>
        <v>QUESTIONARIO_SOCIO_Q63</v>
      </c>
      <c r="K133" t="s">
        <v>198</v>
      </c>
    </row>
    <row r="134" spans="1:11" x14ac:dyDescent="0.2">
      <c r="A134" s="5" t="s">
        <v>403</v>
      </c>
      <c r="B134" s="8" t="str">
        <f t="shared" si="34"/>
        <v>QUESTIONARIO_SOCIO_Q33</v>
      </c>
      <c r="C134" t="s">
        <v>93</v>
      </c>
      <c r="D134" t="str">
        <f t="shared" si="37"/>
        <v>QUESTIONARIO_SOCIO_Q50</v>
      </c>
      <c r="E134" t="s">
        <v>110</v>
      </c>
      <c r="H134" t="str">
        <f t="shared" si="36"/>
        <v>QUESTIONARIO_SOCIO_Q60</v>
      </c>
      <c r="I134" t="s">
        <v>195</v>
      </c>
      <c r="J134" t="str">
        <f t="shared" si="33"/>
        <v>QUESTIONARIO_SOCIO_Q64</v>
      </c>
      <c r="K134" t="s">
        <v>199</v>
      </c>
    </row>
    <row r="135" spans="1:11" x14ac:dyDescent="0.2">
      <c r="A135" s="5" t="s">
        <v>404</v>
      </c>
      <c r="B135" s="8" t="str">
        <f t="shared" si="34"/>
        <v>QUESTIONARIO_SOCIO_Q34</v>
      </c>
      <c r="C135" t="s">
        <v>94</v>
      </c>
      <c r="D135" t="str">
        <f t="shared" si="37"/>
        <v>QUESTIONARIO_SOCIO_Q51</v>
      </c>
      <c r="E135" t="s">
        <v>111</v>
      </c>
      <c r="H135" t="str">
        <f t="shared" si="36"/>
        <v>QUESTIONARIO_SOCIO_Q61</v>
      </c>
      <c r="I135" t="s">
        <v>196</v>
      </c>
      <c r="J135" t="str">
        <f t="shared" si="33"/>
        <v>QUESTIONARIO_SOCIO_Q65</v>
      </c>
      <c r="K135" t="s">
        <v>200</v>
      </c>
    </row>
    <row r="136" spans="1:11" x14ac:dyDescent="0.2">
      <c r="A136" s="5" t="s">
        <v>405</v>
      </c>
      <c r="B136" s="8" t="str">
        <f t="shared" si="34"/>
        <v>QUESTIONARIO_SOCIO_Q35</v>
      </c>
      <c r="C136" t="s">
        <v>95</v>
      </c>
      <c r="D136" t="str">
        <f t="shared" si="37"/>
        <v>QUESTIONARIO_SOCIO_Q52</v>
      </c>
      <c r="E136" t="s">
        <v>112</v>
      </c>
      <c r="H136" t="str">
        <f t="shared" si="36"/>
        <v>QUESTIONARIO_SOCIO_Q62</v>
      </c>
      <c r="I136" t="s">
        <v>197</v>
      </c>
      <c r="J136" t="str">
        <f t="shared" ref="J136:J151" si="38">A172</f>
        <v>QUESTIONARIO_SOCIO_Q66</v>
      </c>
      <c r="K136" t="s">
        <v>201</v>
      </c>
    </row>
    <row r="137" spans="1:11" x14ac:dyDescent="0.2">
      <c r="A137" s="5" t="s">
        <v>406</v>
      </c>
      <c r="B137" s="8" t="str">
        <f t="shared" si="34"/>
        <v>QUESTIONARIO_SOCIO_Q36</v>
      </c>
      <c r="C137" t="s">
        <v>96</v>
      </c>
      <c r="D137" t="str">
        <f t="shared" si="37"/>
        <v>QUESTIONARIO_SOCIO_Q53</v>
      </c>
      <c r="E137" t="s">
        <v>113</v>
      </c>
      <c r="H137" t="str">
        <f t="shared" si="36"/>
        <v>QUESTIONARIO_SOCIO_Q63</v>
      </c>
      <c r="I137" t="s">
        <v>198</v>
      </c>
      <c r="J137" t="str">
        <f t="shared" si="38"/>
        <v>QUESTIONARIO_SOCIO_Q67</v>
      </c>
      <c r="K137" t="s">
        <v>202</v>
      </c>
    </row>
    <row r="138" spans="1:11" x14ac:dyDescent="0.2">
      <c r="A138" s="5" t="s">
        <v>407</v>
      </c>
      <c r="B138" s="8" t="str">
        <f t="shared" ref="B138:B201" si="39">A143</f>
        <v>QUESTIONARIO_SOCIO_Q37</v>
      </c>
      <c r="C138" t="s">
        <v>97</v>
      </c>
      <c r="D138" t="str">
        <f t="shared" si="37"/>
        <v>QUESTIONARIO_SOCIO_Q54</v>
      </c>
      <c r="E138" t="s">
        <v>114</v>
      </c>
      <c r="H138" t="str">
        <f t="shared" si="36"/>
        <v>QUESTIONARIO_SOCIO_Q64</v>
      </c>
      <c r="I138" t="s">
        <v>199</v>
      </c>
      <c r="J138" t="str">
        <f t="shared" si="38"/>
        <v>QUESTIONARIO_SOCIO_Q68</v>
      </c>
      <c r="K138" t="s">
        <v>203</v>
      </c>
    </row>
    <row r="139" spans="1:11" x14ac:dyDescent="0.2">
      <c r="A139" s="5" t="s">
        <v>408</v>
      </c>
      <c r="B139" s="8" t="str">
        <f t="shared" si="39"/>
        <v>QUESTIONARIO_SOCIO_Q38</v>
      </c>
      <c r="C139" t="s">
        <v>98</v>
      </c>
      <c r="D139" t="str">
        <f t="shared" si="37"/>
        <v>QUESTIONARIO_SOCIO_Q55</v>
      </c>
      <c r="E139" t="s">
        <v>190</v>
      </c>
      <c r="H139" t="str">
        <f t="shared" si="36"/>
        <v>QUESTIONARIO_SOCIO_Q65</v>
      </c>
      <c r="I139" t="s">
        <v>200</v>
      </c>
      <c r="J139" t="str">
        <f t="shared" si="38"/>
        <v>QUESTIONARIO_SOCIO_Q69</v>
      </c>
      <c r="K139" t="s">
        <v>204</v>
      </c>
    </row>
    <row r="140" spans="1:11" x14ac:dyDescent="0.2">
      <c r="A140" s="5" t="s">
        <v>409</v>
      </c>
      <c r="B140" s="8" t="str">
        <f t="shared" si="39"/>
        <v>QUESTIONARIO_SOCIO_Q39</v>
      </c>
      <c r="C140" t="s">
        <v>99</v>
      </c>
      <c r="D140" t="str">
        <f t="shared" si="37"/>
        <v>QUESTIONARIO_SOCIO_Q56</v>
      </c>
      <c r="E140" t="s">
        <v>191</v>
      </c>
      <c r="H140" t="str">
        <f t="shared" ref="H140:H155" si="40">A172</f>
        <v>QUESTIONARIO_SOCIO_Q66</v>
      </c>
      <c r="I140" t="s">
        <v>201</v>
      </c>
      <c r="J140" t="str">
        <f t="shared" si="38"/>
        <v>QUESTIONARIO_SOCIO_Q70</v>
      </c>
      <c r="K140" t="s">
        <v>205</v>
      </c>
    </row>
    <row r="141" spans="1:11" x14ac:dyDescent="0.2">
      <c r="A141" s="5" t="s">
        <v>410</v>
      </c>
      <c r="B141" s="8" t="str">
        <f t="shared" si="39"/>
        <v>QUESTIONARIO_SOCIO_Q40</v>
      </c>
      <c r="C141" t="s">
        <v>100</v>
      </c>
      <c r="D141" t="str">
        <f t="shared" si="37"/>
        <v>QUESTIONARIO_SOCIO_Q57</v>
      </c>
      <c r="E141" t="s">
        <v>192</v>
      </c>
      <c r="H141" t="str">
        <f t="shared" si="40"/>
        <v>QUESTIONARIO_SOCIO_Q67</v>
      </c>
      <c r="I141" t="s">
        <v>202</v>
      </c>
      <c r="J141" t="str">
        <f t="shared" si="38"/>
        <v>QUESTIONARIO_SOCIO_Q71</v>
      </c>
      <c r="K141" t="s">
        <v>206</v>
      </c>
    </row>
    <row r="142" spans="1:11" x14ac:dyDescent="0.2">
      <c r="A142" s="5" t="s">
        <v>411</v>
      </c>
      <c r="B142" s="8" t="str">
        <f t="shared" si="39"/>
        <v>QUESTIONARIO_SOCIO_Q41</v>
      </c>
      <c r="C142" t="s">
        <v>101</v>
      </c>
      <c r="D142" t="str">
        <f t="shared" si="37"/>
        <v>QUESTIONARIO_SOCIO_Q58</v>
      </c>
      <c r="E142" t="s">
        <v>193</v>
      </c>
      <c r="H142" t="str">
        <f t="shared" si="40"/>
        <v>QUESTIONARIO_SOCIO_Q68</v>
      </c>
      <c r="I142" t="s">
        <v>203</v>
      </c>
      <c r="J142" t="str">
        <f t="shared" si="38"/>
        <v>QUESTIONARIO_SOCIO_Q72</v>
      </c>
      <c r="K142" t="s">
        <v>207</v>
      </c>
    </row>
    <row r="143" spans="1:11" x14ac:dyDescent="0.2">
      <c r="A143" s="5" t="s">
        <v>412</v>
      </c>
      <c r="B143" s="8" t="str">
        <f t="shared" si="39"/>
        <v>QUESTIONARIO_SOCIO_Q42</v>
      </c>
      <c r="C143" t="s">
        <v>102</v>
      </c>
      <c r="D143" t="str">
        <f t="shared" si="37"/>
        <v>QUESTIONARIO_SOCIO_Q59</v>
      </c>
      <c r="E143" t="s">
        <v>194</v>
      </c>
      <c r="H143" t="str">
        <f t="shared" si="40"/>
        <v>QUESTIONARIO_SOCIO_Q69</v>
      </c>
      <c r="I143" t="s">
        <v>204</v>
      </c>
      <c r="J143" t="str">
        <f t="shared" si="38"/>
        <v>QUESTIONARIO_SOCIO_Q73</v>
      </c>
      <c r="K143" t="s">
        <v>208</v>
      </c>
    </row>
    <row r="144" spans="1:11" x14ac:dyDescent="0.2">
      <c r="A144" s="5" t="s">
        <v>413</v>
      </c>
      <c r="B144" s="8" t="str">
        <f t="shared" si="39"/>
        <v>QUESTIONARIO_SOCIO_Q43</v>
      </c>
      <c r="C144" t="s">
        <v>103</v>
      </c>
      <c r="D144" t="str">
        <f t="shared" si="37"/>
        <v>QUESTIONARIO_SOCIO_Q60</v>
      </c>
      <c r="E144" t="s">
        <v>195</v>
      </c>
      <c r="H144" t="str">
        <f t="shared" si="40"/>
        <v>QUESTIONARIO_SOCIO_Q70</v>
      </c>
      <c r="I144" t="s">
        <v>205</v>
      </c>
      <c r="J144" t="str">
        <f t="shared" si="38"/>
        <v>QUESTIONARIO_SOCIO_Q74</v>
      </c>
      <c r="K144" t="s">
        <v>209</v>
      </c>
    </row>
    <row r="145" spans="1:11" x14ac:dyDescent="0.2">
      <c r="A145" s="5" t="s">
        <v>414</v>
      </c>
      <c r="B145" s="8" t="str">
        <f t="shared" si="39"/>
        <v>QUESTIONARIO_SOCIO_Q44</v>
      </c>
      <c r="C145" t="s">
        <v>104</v>
      </c>
      <c r="D145" t="str">
        <f t="shared" si="37"/>
        <v>QUESTIONARIO_SOCIO_Q61</v>
      </c>
      <c r="E145" t="s">
        <v>196</v>
      </c>
      <c r="H145" t="str">
        <f t="shared" si="40"/>
        <v>QUESTIONARIO_SOCIO_Q71</v>
      </c>
      <c r="I145" t="s">
        <v>206</v>
      </c>
      <c r="J145" t="str">
        <f t="shared" si="38"/>
        <v>QUESTIONARIO_SOCIO_Q75</v>
      </c>
      <c r="K145" t="s">
        <v>210</v>
      </c>
    </row>
    <row r="146" spans="1:11" x14ac:dyDescent="0.2">
      <c r="A146" s="5" t="s">
        <v>415</v>
      </c>
      <c r="B146" s="8" t="str">
        <f t="shared" si="39"/>
        <v>QUESTIONARIO_SOCIO_Q45</v>
      </c>
      <c r="C146" t="s">
        <v>105</v>
      </c>
      <c r="D146" t="str">
        <f t="shared" si="37"/>
        <v>QUESTIONARIO_SOCIO_Q62</v>
      </c>
      <c r="E146" t="s">
        <v>197</v>
      </c>
      <c r="H146" t="str">
        <f t="shared" si="40"/>
        <v>QUESTIONARIO_SOCIO_Q72</v>
      </c>
      <c r="I146" t="s">
        <v>207</v>
      </c>
      <c r="J146" t="str">
        <f t="shared" si="38"/>
        <v>QUESTIONARIO_SOCIO_Q76</v>
      </c>
      <c r="K146" t="s">
        <v>211</v>
      </c>
    </row>
    <row r="147" spans="1:11" x14ac:dyDescent="0.2">
      <c r="A147" s="5" t="s">
        <v>416</v>
      </c>
      <c r="B147" s="8" t="str">
        <f t="shared" si="39"/>
        <v>QUESTIONARIO_SOCIO_Q46</v>
      </c>
      <c r="C147" t="s">
        <v>106</v>
      </c>
      <c r="D147" t="str">
        <f t="shared" si="37"/>
        <v>QUESTIONARIO_SOCIO_Q63</v>
      </c>
      <c r="E147" t="s">
        <v>198</v>
      </c>
      <c r="H147" t="str">
        <f t="shared" si="40"/>
        <v>QUESTIONARIO_SOCIO_Q73</v>
      </c>
      <c r="I147" t="s">
        <v>208</v>
      </c>
      <c r="J147" t="str">
        <f t="shared" si="38"/>
        <v>QUESTIONARIO_SOCIO_Q77</v>
      </c>
      <c r="K147" t="s">
        <v>212</v>
      </c>
    </row>
    <row r="148" spans="1:11" x14ac:dyDescent="0.2">
      <c r="A148" s="5" t="s">
        <v>417</v>
      </c>
      <c r="B148" s="8" t="str">
        <f t="shared" si="39"/>
        <v>QUESTIONARIO_SOCIO_Q47</v>
      </c>
      <c r="C148" t="s">
        <v>107</v>
      </c>
      <c r="D148" t="str">
        <f t="shared" si="37"/>
        <v>QUESTIONARIO_SOCIO_Q64</v>
      </c>
      <c r="E148" t="s">
        <v>199</v>
      </c>
      <c r="H148" t="str">
        <f t="shared" si="40"/>
        <v>QUESTIONARIO_SOCIO_Q74</v>
      </c>
      <c r="I148" t="s">
        <v>209</v>
      </c>
      <c r="J148" t="str">
        <f t="shared" si="38"/>
        <v>QUESTIONARIO_SOCIO_Q78</v>
      </c>
      <c r="K148" t="s">
        <v>213</v>
      </c>
    </row>
    <row r="149" spans="1:11" x14ac:dyDescent="0.2">
      <c r="A149" s="5" t="s">
        <v>418</v>
      </c>
      <c r="B149" s="8" t="str">
        <f t="shared" si="39"/>
        <v>QUESTIONARIO_SOCIO_Q48</v>
      </c>
      <c r="C149" t="s">
        <v>108</v>
      </c>
      <c r="D149" t="str">
        <f t="shared" ref="D149:D199" si="41">A171</f>
        <v>QUESTIONARIO_SOCIO_Q65</v>
      </c>
      <c r="E149" t="s">
        <v>200</v>
      </c>
      <c r="H149" t="str">
        <f t="shared" si="40"/>
        <v>QUESTIONARIO_SOCIO_Q75</v>
      </c>
      <c r="I149" t="s">
        <v>210</v>
      </c>
      <c r="J149" t="str">
        <f t="shared" si="38"/>
        <v>QUESTIONARIO_SOCIO_Q79</v>
      </c>
      <c r="K149" t="s">
        <v>214</v>
      </c>
    </row>
    <row r="150" spans="1:11" x14ac:dyDescent="0.2">
      <c r="A150" s="5" t="s">
        <v>419</v>
      </c>
      <c r="B150" s="8" t="str">
        <f t="shared" si="39"/>
        <v>QUESTIONARIO_SOCIO_Q49</v>
      </c>
      <c r="C150" t="s">
        <v>109</v>
      </c>
      <c r="D150" t="str">
        <f t="shared" si="41"/>
        <v>QUESTIONARIO_SOCIO_Q66</v>
      </c>
      <c r="E150" t="s">
        <v>201</v>
      </c>
      <c r="H150" t="str">
        <f t="shared" si="40"/>
        <v>QUESTIONARIO_SOCIO_Q76</v>
      </c>
      <c r="I150" t="s">
        <v>211</v>
      </c>
      <c r="J150" t="str">
        <f t="shared" si="38"/>
        <v>QUESTIONARIO_SOCIO_Q80</v>
      </c>
      <c r="K150" t="s">
        <v>215</v>
      </c>
    </row>
    <row r="151" spans="1:11" x14ac:dyDescent="0.2">
      <c r="A151" s="5" t="s">
        <v>420</v>
      </c>
      <c r="B151" s="8" t="str">
        <f t="shared" si="39"/>
        <v>QUESTIONARIO_SOCIO_Q50</v>
      </c>
      <c r="C151" t="s">
        <v>110</v>
      </c>
      <c r="D151" t="str">
        <f t="shared" si="41"/>
        <v>QUESTIONARIO_SOCIO_Q67</v>
      </c>
      <c r="E151" t="s">
        <v>202</v>
      </c>
      <c r="H151" t="str">
        <f t="shared" si="40"/>
        <v>QUESTIONARIO_SOCIO_Q77</v>
      </c>
      <c r="I151" t="s">
        <v>212</v>
      </c>
      <c r="J151" t="str">
        <f t="shared" si="38"/>
        <v>QUESTIONARIO_SOCIO_Q81</v>
      </c>
      <c r="K151" t="s">
        <v>216</v>
      </c>
    </row>
    <row r="152" spans="1:11" x14ac:dyDescent="0.2">
      <c r="A152" s="5" t="s">
        <v>421</v>
      </c>
      <c r="B152" s="8" t="str">
        <f t="shared" si="39"/>
        <v>QUESTIONARIO_SOCIO_Q51</v>
      </c>
      <c r="C152" t="s">
        <v>111</v>
      </c>
      <c r="D152" t="str">
        <f t="shared" si="41"/>
        <v>QUESTIONARIO_SOCIO_Q68</v>
      </c>
      <c r="E152" t="s">
        <v>203</v>
      </c>
      <c r="H152" t="str">
        <f t="shared" si="40"/>
        <v>QUESTIONARIO_SOCIO_Q78</v>
      </c>
      <c r="I152" t="s">
        <v>213</v>
      </c>
    </row>
    <row r="153" spans="1:11" x14ac:dyDescent="0.2">
      <c r="A153" s="5" t="s">
        <v>422</v>
      </c>
      <c r="B153" s="8" t="str">
        <f t="shared" si="39"/>
        <v>QUESTIONARIO_SOCIO_Q52</v>
      </c>
      <c r="C153" t="s">
        <v>112</v>
      </c>
      <c r="D153" t="str">
        <f t="shared" si="41"/>
        <v>QUESTIONARIO_SOCIO_Q69</v>
      </c>
      <c r="E153" t="s">
        <v>204</v>
      </c>
      <c r="H153" t="str">
        <f t="shared" si="40"/>
        <v>QUESTIONARIO_SOCIO_Q79</v>
      </c>
      <c r="I153" t="s">
        <v>214</v>
      </c>
    </row>
    <row r="154" spans="1:11" x14ac:dyDescent="0.2">
      <c r="A154" s="5" t="s">
        <v>423</v>
      </c>
      <c r="B154" s="8" t="str">
        <f t="shared" si="39"/>
        <v>QUESTIONARIO_SOCIO_Q53</v>
      </c>
      <c r="C154" t="s">
        <v>113</v>
      </c>
      <c r="D154" t="str">
        <f t="shared" si="41"/>
        <v>QUESTIONARIO_SOCIO_Q70</v>
      </c>
      <c r="E154" t="s">
        <v>205</v>
      </c>
      <c r="H154" t="str">
        <f t="shared" si="40"/>
        <v>QUESTIONARIO_SOCIO_Q80</v>
      </c>
      <c r="I154" t="s">
        <v>215</v>
      </c>
    </row>
    <row r="155" spans="1:11" x14ac:dyDescent="0.2">
      <c r="A155" s="5" t="s">
        <v>424</v>
      </c>
      <c r="B155" s="8" t="str">
        <f t="shared" si="39"/>
        <v>QUESTIONARIO_SOCIO_Q54</v>
      </c>
      <c r="C155" t="s">
        <v>114</v>
      </c>
      <c r="D155" t="str">
        <f t="shared" si="41"/>
        <v>QUESTIONARIO_SOCIO_Q71</v>
      </c>
      <c r="E155" t="s">
        <v>206</v>
      </c>
      <c r="H155" t="str">
        <f t="shared" si="40"/>
        <v>QUESTIONARIO_SOCIO_Q81</v>
      </c>
      <c r="I155" t="s">
        <v>216</v>
      </c>
    </row>
    <row r="156" spans="1:11" x14ac:dyDescent="0.2">
      <c r="A156" s="5" t="s">
        <v>425</v>
      </c>
      <c r="B156" s="8" t="str">
        <f t="shared" si="39"/>
        <v>QUESTIONARIO_SOCIO_Q55</v>
      </c>
      <c r="C156" t="s">
        <v>190</v>
      </c>
      <c r="D156" t="str">
        <f t="shared" si="41"/>
        <v>QUESTIONARIO_SOCIO_Q72</v>
      </c>
      <c r="E156" t="s">
        <v>207</v>
      </c>
    </row>
    <row r="157" spans="1:11" x14ac:dyDescent="0.2">
      <c r="A157" s="5" t="s">
        <v>426</v>
      </c>
      <c r="B157" s="8" t="str">
        <f t="shared" si="39"/>
        <v>QUESTIONARIO_SOCIO_Q56</v>
      </c>
      <c r="C157" t="s">
        <v>191</v>
      </c>
      <c r="D157" t="str">
        <f t="shared" si="41"/>
        <v>QUESTIONARIO_SOCIO_Q73</v>
      </c>
      <c r="E157" t="s">
        <v>208</v>
      </c>
    </row>
    <row r="158" spans="1:11" x14ac:dyDescent="0.2">
      <c r="A158" s="5" t="s">
        <v>427</v>
      </c>
      <c r="B158" s="8" t="str">
        <f t="shared" si="39"/>
        <v>QUESTIONARIO_SOCIO_Q57</v>
      </c>
      <c r="C158" t="s">
        <v>192</v>
      </c>
      <c r="D158" t="str">
        <f t="shared" si="41"/>
        <v>QUESTIONARIO_SOCIO_Q74</v>
      </c>
      <c r="E158" t="s">
        <v>209</v>
      </c>
    </row>
    <row r="159" spans="1:11" x14ac:dyDescent="0.2">
      <c r="A159" s="5" t="s">
        <v>428</v>
      </c>
      <c r="B159" s="8" t="str">
        <f t="shared" si="39"/>
        <v>QUESTIONARIO_SOCIO_Q58</v>
      </c>
      <c r="C159" t="s">
        <v>193</v>
      </c>
      <c r="D159" t="str">
        <f t="shared" si="41"/>
        <v>QUESTIONARIO_SOCIO_Q75</v>
      </c>
      <c r="E159" t="s">
        <v>210</v>
      </c>
    </row>
    <row r="160" spans="1:11" x14ac:dyDescent="0.2">
      <c r="A160" s="5" t="s">
        <v>429</v>
      </c>
      <c r="B160" s="8" t="str">
        <f t="shared" si="39"/>
        <v>QUESTIONARIO_SOCIO_Q59</v>
      </c>
      <c r="C160" t="s">
        <v>194</v>
      </c>
      <c r="D160" t="str">
        <f t="shared" si="41"/>
        <v>QUESTIONARIO_SOCIO_Q76</v>
      </c>
      <c r="E160" t="s">
        <v>211</v>
      </c>
    </row>
    <row r="161" spans="1:5" x14ac:dyDescent="0.2">
      <c r="A161" s="5" t="s">
        <v>430</v>
      </c>
      <c r="B161" s="8" t="str">
        <f t="shared" si="39"/>
        <v>QUESTIONARIO_SOCIO_Q60</v>
      </c>
      <c r="C161" t="s">
        <v>195</v>
      </c>
      <c r="D161" t="str">
        <f t="shared" si="41"/>
        <v>QUESTIONARIO_SOCIO_Q77</v>
      </c>
      <c r="E161" t="s">
        <v>212</v>
      </c>
    </row>
    <row r="162" spans="1:5" x14ac:dyDescent="0.2">
      <c r="A162" s="5" t="s">
        <v>431</v>
      </c>
      <c r="B162" s="8" t="str">
        <f t="shared" si="39"/>
        <v>QUESTIONARIO_SOCIO_Q61</v>
      </c>
      <c r="C162" t="s">
        <v>196</v>
      </c>
      <c r="D162" t="str">
        <f t="shared" si="41"/>
        <v>QUESTIONARIO_SOCIO_Q78</v>
      </c>
      <c r="E162" t="s">
        <v>213</v>
      </c>
    </row>
    <row r="163" spans="1:5" x14ac:dyDescent="0.2">
      <c r="A163" s="5" t="s">
        <v>432</v>
      </c>
      <c r="B163" s="8" t="str">
        <f t="shared" si="39"/>
        <v>QUESTIONARIO_SOCIO_Q62</v>
      </c>
      <c r="C163" t="s">
        <v>197</v>
      </c>
      <c r="D163" t="str">
        <f t="shared" si="41"/>
        <v>QUESTIONARIO_SOCIO_Q79</v>
      </c>
      <c r="E163" t="s">
        <v>214</v>
      </c>
    </row>
    <row r="164" spans="1:5" x14ac:dyDescent="0.2">
      <c r="A164" s="5" t="s">
        <v>433</v>
      </c>
      <c r="B164" s="8" t="str">
        <f t="shared" si="39"/>
        <v>QUESTIONARIO_SOCIO_Q63</v>
      </c>
      <c r="C164" t="s">
        <v>198</v>
      </c>
      <c r="D164" t="str">
        <f t="shared" si="41"/>
        <v>QUESTIONARIO_SOCIO_Q80</v>
      </c>
      <c r="E164" t="s">
        <v>215</v>
      </c>
    </row>
    <row r="165" spans="1:5" x14ac:dyDescent="0.2">
      <c r="A165" s="5" t="s">
        <v>434</v>
      </c>
      <c r="B165" s="8" t="str">
        <f t="shared" si="39"/>
        <v>QUESTIONARIO_SOCIO_Q64</v>
      </c>
      <c r="C165" t="s">
        <v>199</v>
      </c>
      <c r="D165" t="str">
        <f t="shared" si="41"/>
        <v>QUESTIONARIO_SOCIO_Q81</v>
      </c>
      <c r="E165" t="s">
        <v>216</v>
      </c>
    </row>
    <row r="166" spans="1:5" x14ac:dyDescent="0.2">
      <c r="A166" s="5" t="s">
        <v>435</v>
      </c>
      <c r="B166" s="8" t="str">
        <f t="shared" si="39"/>
        <v>QUESTIONARIO_SOCIO_Q65</v>
      </c>
      <c r="C166" t="s">
        <v>200</v>
      </c>
      <c r="D166" t="str">
        <f t="shared" si="41"/>
        <v>QUESTIONARIO_SOCIO_Q82</v>
      </c>
      <c r="E166" t="s">
        <v>217</v>
      </c>
    </row>
    <row r="167" spans="1:5" x14ac:dyDescent="0.2">
      <c r="A167" s="5" t="s">
        <v>436</v>
      </c>
      <c r="B167" s="8" t="str">
        <f t="shared" si="39"/>
        <v>QUESTIONARIO_SOCIO_Q66</v>
      </c>
      <c r="C167" t="s">
        <v>201</v>
      </c>
      <c r="D167" t="str">
        <f t="shared" si="41"/>
        <v>QUESTIONARIO_SOCIO_Q83</v>
      </c>
      <c r="E167" t="s">
        <v>218</v>
      </c>
    </row>
    <row r="168" spans="1:5" x14ac:dyDescent="0.2">
      <c r="A168" s="5" t="s">
        <v>437</v>
      </c>
      <c r="B168" s="8" t="str">
        <f t="shared" si="39"/>
        <v>QUESTIONARIO_SOCIO_Q67</v>
      </c>
      <c r="C168" t="s">
        <v>202</v>
      </c>
      <c r="D168" t="str">
        <f t="shared" si="41"/>
        <v>QUESTIONARIO_SOCIO_Q84</v>
      </c>
      <c r="E168" t="s">
        <v>219</v>
      </c>
    </row>
    <row r="169" spans="1:5" x14ac:dyDescent="0.2">
      <c r="A169" s="5" t="s">
        <v>438</v>
      </c>
      <c r="B169" s="8" t="str">
        <f t="shared" si="39"/>
        <v>QUESTIONARIO_SOCIO_Q68</v>
      </c>
      <c r="C169" t="s">
        <v>203</v>
      </c>
      <c r="D169" t="str">
        <f t="shared" si="41"/>
        <v>QUESTIONARIO_SOCIO_Q85</v>
      </c>
      <c r="E169" t="s">
        <v>220</v>
      </c>
    </row>
    <row r="170" spans="1:5" x14ac:dyDescent="0.2">
      <c r="A170" s="5" t="s">
        <v>439</v>
      </c>
      <c r="B170" s="8" t="str">
        <f t="shared" si="39"/>
        <v>QUESTIONARIO_SOCIO_Q69</v>
      </c>
      <c r="C170" t="s">
        <v>204</v>
      </c>
      <c r="D170" t="str">
        <f t="shared" si="41"/>
        <v>QUESTIONARIO_SOCIO_Q86</v>
      </c>
      <c r="E170" t="s">
        <v>221</v>
      </c>
    </row>
    <row r="171" spans="1:5" x14ac:dyDescent="0.2">
      <c r="A171" s="5" t="s">
        <v>440</v>
      </c>
      <c r="B171" s="8" t="str">
        <f t="shared" si="39"/>
        <v>QUESTIONARIO_SOCIO_Q70</v>
      </c>
      <c r="C171" t="s">
        <v>205</v>
      </c>
      <c r="D171" t="str">
        <f t="shared" si="41"/>
        <v>QUESTIONARIO_SOCIO_Q87</v>
      </c>
      <c r="E171" t="s">
        <v>222</v>
      </c>
    </row>
    <row r="172" spans="1:5" x14ac:dyDescent="0.2">
      <c r="A172" s="5" t="s">
        <v>441</v>
      </c>
      <c r="B172" s="8" t="str">
        <f t="shared" si="39"/>
        <v>QUESTIONARIO_SOCIO_Q71</v>
      </c>
      <c r="C172" t="s">
        <v>206</v>
      </c>
      <c r="D172" t="str">
        <f t="shared" si="41"/>
        <v>QUESTIONARIO_SOCIO_Q88</v>
      </c>
      <c r="E172" t="s">
        <v>223</v>
      </c>
    </row>
    <row r="173" spans="1:5" x14ac:dyDescent="0.2">
      <c r="A173" s="5" t="s">
        <v>442</v>
      </c>
      <c r="B173" s="8" t="str">
        <f t="shared" si="39"/>
        <v>QUESTIONARIO_SOCIO_Q72</v>
      </c>
      <c r="C173" t="s">
        <v>207</v>
      </c>
      <c r="D173" t="str">
        <f t="shared" si="41"/>
        <v>QUESTIONARIO_SOCIO_Q89</v>
      </c>
      <c r="E173" t="s">
        <v>224</v>
      </c>
    </row>
    <row r="174" spans="1:5" x14ac:dyDescent="0.2">
      <c r="A174" s="5" t="s">
        <v>443</v>
      </c>
      <c r="B174" s="8" t="str">
        <f t="shared" si="39"/>
        <v>QUESTIONARIO_SOCIO_Q73</v>
      </c>
      <c r="C174" t="s">
        <v>208</v>
      </c>
      <c r="D174" t="str">
        <f t="shared" si="41"/>
        <v>QUESTIONARIO_SOCIO_Q90</v>
      </c>
      <c r="E174" t="s">
        <v>225</v>
      </c>
    </row>
    <row r="175" spans="1:5" x14ac:dyDescent="0.2">
      <c r="A175" s="5" t="s">
        <v>444</v>
      </c>
      <c r="B175" s="8" t="str">
        <f t="shared" si="39"/>
        <v>QUESTIONARIO_SOCIO_Q74</v>
      </c>
      <c r="C175" t="s">
        <v>209</v>
      </c>
      <c r="D175" t="str">
        <f t="shared" si="41"/>
        <v>QUESTIONARIO_SOCIO_Q91</v>
      </c>
      <c r="E175" t="s">
        <v>226</v>
      </c>
    </row>
    <row r="176" spans="1:5" x14ac:dyDescent="0.2">
      <c r="A176" s="5" t="s">
        <v>445</v>
      </c>
      <c r="B176" s="8" t="str">
        <f t="shared" si="39"/>
        <v>QUESTIONARIO_SOCIO_Q75</v>
      </c>
      <c r="C176" t="s">
        <v>210</v>
      </c>
      <c r="D176" t="str">
        <f t="shared" si="41"/>
        <v>QUESTIONARIO_SOCIO_Q92</v>
      </c>
      <c r="E176" t="s">
        <v>227</v>
      </c>
    </row>
    <row r="177" spans="1:5" x14ac:dyDescent="0.2">
      <c r="A177" s="5" t="s">
        <v>446</v>
      </c>
      <c r="B177" s="8" t="str">
        <f t="shared" si="39"/>
        <v>QUESTIONARIO_SOCIO_Q76</v>
      </c>
      <c r="C177" t="s">
        <v>211</v>
      </c>
      <c r="D177" t="str">
        <f t="shared" si="41"/>
        <v>QUESTIONARIO_SOCIO_Q93</v>
      </c>
      <c r="E177" t="s">
        <v>228</v>
      </c>
    </row>
    <row r="178" spans="1:5" x14ac:dyDescent="0.2">
      <c r="A178" s="5" t="s">
        <v>447</v>
      </c>
      <c r="B178" s="8" t="str">
        <f t="shared" si="39"/>
        <v>QUESTIONARIO_SOCIO_Q77</v>
      </c>
      <c r="C178" t="s">
        <v>212</v>
      </c>
      <c r="D178" t="str">
        <f t="shared" si="41"/>
        <v>QUESTIONARIO_SOCIO_Q94</v>
      </c>
      <c r="E178" t="s">
        <v>229</v>
      </c>
    </row>
    <row r="179" spans="1:5" x14ac:dyDescent="0.2">
      <c r="A179" s="5" t="s">
        <v>448</v>
      </c>
      <c r="B179" s="8" t="str">
        <f t="shared" si="39"/>
        <v>QUESTIONARIO_SOCIO_Q78</v>
      </c>
      <c r="C179" t="s">
        <v>213</v>
      </c>
      <c r="D179" t="str">
        <f t="shared" si="41"/>
        <v>QUESTIONARIO_SOCIO_Q95</v>
      </c>
      <c r="E179" t="s">
        <v>230</v>
      </c>
    </row>
    <row r="180" spans="1:5" x14ac:dyDescent="0.2">
      <c r="A180" s="5" t="s">
        <v>449</v>
      </c>
      <c r="B180" s="8" t="str">
        <f t="shared" si="39"/>
        <v>QUESTIONARIO_SOCIO_Q79</v>
      </c>
      <c r="C180" t="s">
        <v>214</v>
      </c>
      <c r="D180" t="str">
        <f t="shared" si="41"/>
        <v>QUESTIONARIO_SOCIO_Q96</v>
      </c>
      <c r="E180" t="s">
        <v>231</v>
      </c>
    </row>
    <row r="181" spans="1:5" x14ac:dyDescent="0.2">
      <c r="A181" s="5" t="s">
        <v>450</v>
      </c>
      <c r="B181" s="8" t="str">
        <f t="shared" si="39"/>
        <v>QUESTIONARIO_SOCIO_Q80</v>
      </c>
      <c r="C181" t="s">
        <v>215</v>
      </c>
      <c r="D181" t="str">
        <f t="shared" si="41"/>
        <v>QUESTIONARIO_SOCIO_Q97</v>
      </c>
      <c r="E181" t="s">
        <v>232</v>
      </c>
    </row>
    <row r="182" spans="1:5" x14ac:dyDescent="0.2">
      <c r="A182" s="5" t="s">
        <v>451</v>
      </c>
      <c r="B182" s="8" t="str">
        <f t="shared" si="39"/>
        <v>QUESTIONARIO_SOCIO_Q81</v>
      </c>
      <c r="C182" t="s">
        <v>216</v>
      </c>
      <c r="D182" t="str">
        <f t="shared" si="41"/>
        <v>QUESTIONARIO_SOCIO_Q98</v>
      </c>
      <c r="E182" t="s">
        <v>233</v>
      </c>
    </row>
    <row r="183" spans="1:5" x14ac:dyDescent="0.2">
      <c r="A183" s="5" t="s">
        <v>452</v>
      </c>
      <c r="B183" s="8" t="str">
        <f t="shared" si="39"/>
        <v>QUESTIONARIO_SOCIO_Q82</v>
      </c>
      <c r="C183" t="s">
        <v>217</v>
      </c>
      <c r="D183" t="str">
        <f t="shared" si="41"/>
        <v>QUESTIONARIO_SOCIO_Q99</v>
      </c>
      <c r="E183" t="s">
        <v>234</v>
      </c>
    </row>
    <row r="184" spans="1:5" x14ac:dyDescent="0.2">
      <c r="A184" s="5" t="s">
        <v>453</v>
      </c>
      <c r="B184" s="8" t="str">
        <f t="shared" si="39"/>
        <v>QUESTIONARIO_SOCIO_Q83</v>
      </c>
      <c r="C184" t="s">
        <v>218</v>
      </c>
      <c r="D184" t="str">
        <f t="shared" si="41"/>
        <v>QUESTIONARIO_SOCIO_Q100</v>
      </c>
      <c r="E184" t="s">
        <v>235</v>
      </c>
    </row>
    <row r="185" spans="1:5" x14ac:dyDescent="0.2">
      <c r="A185" s="5" t="s">
        <v>454</v>
      </c>
      <c r="B185" s="8" t="str">
        <f t="shared" si="39"/>
        <v>QUESTIONARIO_SOCIO_Q84</v>
      </c>
      <c r="C185" t="s">
        <v>219</v>
      </c>
      <c r="D185" t="str">
        <f t="shared" si="41"/>
        <v>QUESTIONARIO_SOCIO_Q101</v>
      </c>
      <c r="E185" t="s">
        <v>236</v>
      </c>
    </row>
    <row r="186" spans="1:5" x14ac:dyDescent="0.2">
      <c r="A186" s="5" t="s">
        <v>455</v>
      </c>
      <c r="B186" s="8" t="str">
        <f t="shared" si="39"/>
        <v>QUESTIONARIO_SOCIO_Q85</v>
      </c>
      <c r="C186" t="s">
        <v>220</v>
      </c>
      <c r="D186" t="str">
        <f t="shared" si="41"/>
        <v>QUESTIONARIO_SOCIO_Q102</v>
      </c>
      <c r="E186" t="s">
        <v>237</v>
      </c>
    </row>
    <row r="187" spans="1:5" x14ac:dyDescent="0.2">
      <c r="A187" s="5" t="s">
        <v>456</v>
      </c>
      <c r="B187" s="8" t="str">
        <f t="shared" si="39"/>
        <v>QUESTIONARIO_SOCIO_Q86</v>
      </c>
      <c r="C187" t="s">
        <v>221</v>
      </c>
      <c r="D187" t="str">
        <f t="shared" si="41"/>
        <v>QUESTIONARIO_SOCIO_Q103</v>
      </c>
      <c r="E187" t="s">
        <v>238</v>
      </c>
    </row>
    <row r="188" spans="1:5" x14ac:dyDescent="0.2">
      <c r="A188" s="5" t="s">
        <v>457</v>
      </c>
      <c r="B188" s="8" t="str">
        <f t="shared" si="39"/>
        <v>QUESTIONARIO_SOCIO_Q87</v>
      </c>
      <c r="C188" t="s">
        <v>222</v>
      </c>
      <c r="D188" t="str">
        <f t="shared" si="41"/>
        <v>QUESTIONARIO_SOCIO_Q104</v>
      </c>
      <c r="E188" t="s">
        <v>239</v>
      </c>
    </row>
    <row r="189" spans="1:5" x14ac:dyDescent="0.2">
      <c r="A189" s="5" t="s">
        <v>458</v>
      </c>
      <c r="B189" s="8" t="str">
        <f t="shared" si="39"/>
        <v>QUESTIONARIO_SOCIO_Q88</v>
      </c>
      <c r="C189" t="s">
        <v>223</v>
      </c>
      <c r="D189" t="str">
        <f t="shared" si="41"/>
        <v>QUESTIONARIO_SOCIO_Q105</v>
      </c>
      <c r="E189" t="s">
        <v>240</v>
      </c>
    </row>
    <row r="190" spans="1:5" x14ac:dyDescent="0.2">
      <c r="A190" s="5" t="s">
        <v>459</v>
      </c>
      <c r="B190" s="8" t="str">
        <f t="shared" si="39"/>
        <v>QUESTIONARIO_SOCIO_Q89</v>
      </c>
      <c r="C190" t="s">
        <v>224</v>
      </c>
      <c r="D190" t="str">
        <f t="shared" si="41"/>
        <v>QUESTIONARIO_SOCIO_Q106</v>
      </c>
      <c r="E190" t="s">
        <v>241</v>
      </c>
    </row>
    <row r="191" spans="1:5" x14ac:dyDescent="0.2">
      <c r="A191" s="5" t="s">
        <v>460</v>
      </c>
      <c r="B191" s="8" t="str">
        <f t="shared" si="39"/>
        <v>QUESTIONARIO_SOCIO_Q90</v>
      </c>
      <c r="C191" t="s">
        <v>225</v>
      </c>
      <c r="D191" t="str">
        <f t="shared" si="41"/>
        <v>QUESTIONARIO_SOCIO_Q107</v>
      </c>
      <c r="E191" t="s">
        <v>242</v>
      </c>
    </row>
    <row r="192" spans="1:5" x14ac:dyDescent="0.2">
      <c r="A192" s="5" t="s">
        <v>461</v>
      </c>
      <c r="B192" s="8" t="str">
        <f t="shared" si="39"/>
        <v>QUESTIONARIO_SOCIO_Q91</v>
      </c>
      <c r="C192" t="s">
        <v>226</v>
      </c>
      <c r="D192" t="str">
        <f t="shared" si="41"/>
        <v>QUESTIONARIO_SOCIO_Q108</v>
      </c>
      <c r="E192" t="s">
        <v>243</v>
      </c>
    </row>
    <row r="193" spans="1:5" x14ac:dyDescent="0.2">
      <c r="A193" s="5" t="s">
        <v>462</v>
      </c>
      <c r="B193" s="8" t="str">
        <f t="shared" si="39"/>
        <v>QUESTIONARIO_SOCIO_Q92</v>
      </c>
      <c r="C193" t="s">
        <v>227</v>
      </c>
      <c r="D193" t="str">
        <f t="shared" si="41"/>
        <v>QUESTIONARIO_SOCIO_Q109</v>
      </c>
      <c r="E193" t="s">
        <v>244</v>
      </c>
    </row>
    <row r="194" spans="1:5" x14ac:dyDescent="0.2">
      <c r="A194" s="5" t="s">
        <v>463</v>
      </c>
      <c r="B194" s="8" t="str">
        <f t="shared" si="39"/>
        <v>QUESTIONARIO_SOCIO_Q93</v>
      </c>
      <c r="C194" t="s">
        <v>228</v>
      </c>
      <c r="D194" t="str">
        <f t="shared" si="41"/>
        <v>QUESTIONARIO_SOCIO_Q110</v>
      </c>
      <c r="E194" t="s">
        <v>245</v>
      </c>
    </row>
    <row r="195" spans="1:5" x14ac:dyDescent="0.2">
      <c r="A195" s="5" t="s">
        <v>464</v>
      </c>
      <c r="B195" s="8" t="str">
        <f t="shared" si="39"/>
        <v>QUESTIONARIO_SOCIO_Q94</v>
      </c>
      <c r="C195" t="s">
        <v>229</v>
      </c>
      <c r="D195" t="str">
        <f t="shared" si="41"/>
        <v>QUESTIONARIO_SOCIO_Q111</v>
      </c>
      <c r="E195" t="s">
        <v>251</v>
      </c>
    </row>
    <row r="196" spans="1:5" x14ac:dyDescent="0.2">
      <c r="A196" s="5" t="s">
        <v>465</v>
      </c>
      <c r="B196" s="8" t="str">
        <f t="shared" si="39"/>
        <v>QUESTIONARIO_SOCIO_Q95</v>
      </c>
      <c r="C196" t="s">
        <v>230</v>
      </c>
      <c r="D196" t="str">
        <f t="shared" si="41"/>
        <v>QUESTIONARIO_SOCIO_Q112</v>
      </c>
      <c r="E196" t="s">
        <v>252</v>
      </c>
    </row>
    <row r="197" spans="1:5" x14ac:dyDescent="0.2">
      <c r="A197" s="5" t="s">
        <v>466</v>
      </c>
      <c r="B197" s="8" t="str">
        <f t="shared" si="39"/>
        <v>QUESTIONARIO_SOCIO_Q96</v>
      </c>
      <c r="C197" t="s">
        <v>231</v>
      </c>
      <c r="D197" t="str">
        <f t="shared" si="41"/>
        <v>QUESTIONARIO_SOCIO_Q113</v>
      </c>
      <c r="E197" t="s">
        <v>253</v>
      </c>
    </row>
    <row r="198" spans="1:5" x14ac:dyDescent="0.2">
      <c r="A198" s="5" t="s">
        <v>467</v>
      </c>
      <c r="B198" s="8" t="str">
        <f t="shared" si="39"/>
        <v>QUESTIONARIO_SOCIO_Q97</v>
      </c>
      <c r="C198" t="s">
        <v>232</v>
      </c>
      <c r="D198" t="str">
        <f t="shared" si="41"/>
        <v>QUESTIONARIO_SOCIO_Q114</v>
      </c>
      <c r="E198" t="s">
        <v>254</v>
      </c>
    </row>
    <row r="199" spans="1:5" x14ac:dyDescent="0.2">
      <c r="A199" s="5" t="s">
        <v>468</v>
      </c>
      <c r="B199" s="8" t="str">
        <f t="shared" si="39"/>
        <v>QUESTIONARIO_SOCIO_Q98</v>
      </c>
      <c r="C199" t="s">
        <v>233</v>
      </c>
      <c r="D199" t="str">
        <f t="shared" si="41"/>
        <v>QUESTIONARIO_SOCIO_Q115</v>
      </c>
      <c r="E199" t="s">
        <v>255</v>
      </c>
    </row>
    <row r="200" spans="1:5" x14ac:dyDescent="0.2">
      <c r="A200" s="5" t="s">
        <v>469</v>
      </c>
      <c r="B200" s="8" t="str">
        <f t="shared" si="39"/>
        <v>QUESTIONARIO_SOCIO_Q99</v>
      </c>
      <c r="C200" t="s">
        <v>234</v>
      </c>
    </row>
    <row r="201" spans="1:5" x14ac:dyDescent="0.2">
      <c r="A201" s="5" t="s">
        <v>470</v>
      </c>
      <c r="B201" s="8" t="str">
        <f t="shared" si="39"/>
        <v>QUESTIONARIO_SOCIO_Q100</v>
      </c>
      <c r="C201" t="s">
        <v>235</v>
      </c>
    </row>
    <row r="202" spans="1:5" x14ac:dyDescent="0.2">
      <c r="A202" s="5" t="s">
        <v>471</v>
      </c>
      <c r="B202" s="8" t="str">
        <f t="shared" ref="B202:B211" si="42">A207</f>
        <v>QUESTIONARIO_SOCIO_Q101</v>
      </c>
      <c r="C202" t="s">
        <v>236</v>
      </c>
    </row>
    <row r="203" spans="1:5" x14ac:dyDescent="0.2">
      <c r="A203" s="5" t="s">
        <v>472</v>
      </c>
      <c r="B203" s="8" t="str">
        <f t="shared" si="42"/>
        <v>QUESTIONARIO_SOCIO_Q102</v>
      </c>
      <c r="C203" t="s">
        <v>237</v>
      </c>
    </row>
    <row r="204" spans="1:5" x14ac:dyDescent="0.2">
      <c r="A204" s="5" t="s">
        <v>473</v>
      </c>
      <c r="B204" s="8" t="str">
        <f t="shared" si="42"/>
        <v>QUESTIONARIO_SOCIO_Q103</v>
      </c>
      <c r="C204" t="s">
        <v>238</v>
      </c>
    </row>
    <row r="205" spans="1:5" x14ac:dyDescent="0.2">
      <c r="A205" s="5" t="s">
        <v>474</v>
      </c>
      <c r="B205" s="8" t="str">
        <f t="shared" si="42"/>
        <v>QUESTIONARIO_SOCIO_Q104</v>
      </c>
      <c r="C205" t="s">
        <v>239</v>
      </c>
    </row>
    <row r="206" spans="1:5" x14ac:dyDescent="0.2">
      <c r="A206" s="5" t="s">
        <v>475</v>
      </c>
      <c r="B206" s="8" t="str">
        <f t="shared" si="42"/>
        <v>QUESTIONARIO_SOCIO_Q105</v>
      </c>
      <c r="C206" t="s">
        <v>240</v>
      </c>
    </row>
    <row r="207" spans="1:5" x14ac:dyDescent="0.2">
      <c r="A207" s="5" t="s">
        <v>476</v>
      </c>
      <c r="B207" s="8" t="str">
        <f t="shared" si="42"/>
        <v>QUESTIONARIO_SOCIO_Q106</v>
      </c>
      <c r="C207" t="s">
        <v>241</v>
      </c>
    </row>
    <row r="208" spans="1:5" x14ac:dyDescent="0.2">
      <c r="A208" s="5" t="s">
        <v>477</v>
      </c>
      <c r="B208" s="8" t="str">
        <f t="shared" si="42"/>
        <v>QUESTIONARIO_SOCIO_Q107</v>
      </c>
      <c r="C208" t="s">
        <v>242</v>
      </c>
    </row>
    <row r="209" spans="1:3" x14ac:dyDescent="0.2">
      <c r="A209" s="5" t="s">
        <v>478</v>
      </c>
      <c r="B209" s="8" t="str">
        <f t="shared" si="42"/>
        <v>QUESTIONARIO_SOCIO_Q108</v>
      </c>
      <c r="C209" t="s">
        <v>243</v>
      </c>
    </row>
    <row r="210" spans="1:3" x14ac:dyDescent="0.2">
      <c r="A210" s="5" t="s">
        <v>479</v>
      </c>
      <c r="B210" s="8" t="str">
        <f t="shared" si="42"/>
        <v>QUESTIONARIO_SOCIO_Q109</v>
      </c>
      <c r="C210" t="s">
        <v>244</v>
      </c>
    </row>
    <row r="211" spans="1:3" x14ac:dyDescent="0.2">
      <c r="A211" s="5" t="s">
        <v>480</v>
      </c>
      <c r="B211" s="8" t="str">
        <f t="shared" si="42"/>
        <v>QUESTIONARIO_SOCIO_Q110</v>
      </c>
      <c r="C211" t="s">
        <v>245</v>
      </c>
    </row>
    <row r="212" spans="1:3" x14ac:dyDescent="0.2">
      <c r="A212" s="5" t="s">
        <v>481</v>
      </c>
    </row>
    <row r="213" spans="1:3" x14ac:dyDescent="0.2">
      <c r="A213" s="5" t="s">
        <v>482</v>
      </c>
    </row>
    <row r="214" spans="1:3" x14ac:dyDescent="0.2">
      <c r="A214" s="5" t="s">
        <v>483</v>
      </c>
    </row>
    <row r="215" spans="1:3" x14ac:dyDescent="0.2">
      <c r="A215" s="5" t="s">
        <v>484</v>
      </c>
    </row>
    <row r="216" spans="1:3" x14ac:dyDescent="0.2">
      <c r="A216" s="5" t="s">
        <v>485</v>
      </c>
    </row>
    <row r="217" spans="1:3" x14ac:dyDescent="0.2">
      <c r="A217" s="5" t="s">
        <v>487</v>
      </c>
    </row>
    <row r="218" spans="1:3" x14ac:dyDescent="0.2">
      <c r="A218" s="5" t="s">
        <v>488</v>
      </c>
    </row>
    <row r="219" spans="1:3" x14ac:dyDescent="0.2">
      <c r="A219" s="5" t="s">
        <v>489</v>
      </c>
    </row>
    <row r="220" spans="1:3" x14ac:dyDescent="0.2">
      <c r="A220" s="5" t="s">
        <v>490</v>
      </c>
    </row>
    <row r="221" spans="1:3" x14ac:dyDescent="0.2">
      <c r="A221" s="5" t="s">
        <v>491</v>
      </c>
    </row>
    <row r="222" spans="1:3" x14ac:dyDescent="0.2">
      <c r="A222" s="13" t="s">
        <v>502</v>
      </c>
    </row>
    <row r="223" spans="1:3" x14ac:dyDescent="0.2">
      <c r="A223" t="s">
        <v>497</v>
      </c>
    </row>
    <row r="224" spans="1:3" x14ac:dyDescent="0.2">
      <c r="A224" t="s">
        <v>498</v>
      </c>
    </row>
    <row r="225" spans="1:1" x14ac:dyDescent="0.2">
      <c r="A225" t="s">
        <v>499</v>
      </c>
    </row>
    <row r="226" spans="1:1" x14ac:dyDescent="0.2">
      <c r="A226" t="s">
        <v>500</v>
      </c>
    </row>
    <row r="227" spans="1:1" x14ac:dyDescent="0.2">
      <c r="A227" t="s">
        <v>501</v>
      </c>
    </row>
    <row r="228" spans="1:1" x14ac:dyDescent="0.2">
      <c r="A228" t="s">
        <v>503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2021-08-14T20:10:04Z</dcterms:created>
  <dcterms:modified xsi:type="dcterms:W3CDTF">2021-08-21T00:10:47Z</dcterms:modified>
</cp:coreProperties>
</file>